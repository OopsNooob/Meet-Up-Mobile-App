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4662b863b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 FE" sheetId="1" r:id="Raba6f02c87644d99"/>
    <x:sheet xmlns:r="http://schemas.openxmlformats.org/officeDocument/2006/relationships" name="Chức năng FE" sheetId="2" r:id="R66d9e419119243a1"/>
    <x:sheet xmlns:r="http://schemas.openxmlformats.org/officeDocument/2006/relationships" name="Backlog FE" sheetId="3" r:id="R2477cb9fbaa04f0c"/>
    <x:sheet xmlns:r="http://schemas.openxmlformats.org/officeDocument/2006/relationships" name="Phân công FE" sheetId="4" r:id="R0e55fff58ee5479f"/>
    <x:sheet xmlns:r="http://schemas.openxmlformats.org/officeDocument/2006/relationships" name="Function Points FE" sheetId="5" r:id="R8dd5f8a6d7a44afd"/>
    <x:sheet xmlns:r="http://schemas.openxmlformats.org/officeDocument/2006/relationships" name="Hướng dẫn" sheetId="6" r:id="R7571f319c349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name val="Carlito"/>
    </x:font>
    <x:font>
      <x:b/>
      <x:sz val="15"/>
      <x:name val="Arial"/>
    </x:font>
    <x:font>
      <x:i/>
      <x:sz val="10"/>
      <x:color rgb="FF404040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0"/>
      <x:name val="Arial"/>
    </x:font>
    <x:font>
      <x:sz val="11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7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3" fillId="2" borderId="0" xfId="0" applyFont="1" applyFill="1" applyAlignment="1">
      <x:alignment horizontal="center" vertical="center" wrapText="1"/>
    </x:xf>
    <x:xf numFmtId="0" fontId="4" fillId="3" borderId="0" xfId="0" applyFont="1" applyFill="1"/>
    <x:xf numFmtId="0" fontId="4" fillId="4" borderId="0" xfId="0" applyFont="1" applyFill="1" applyAlignment="1">
      <x:alignment horizontal="center"/>
    </x:xf>
    <x:xf numFmtId="0" fontId="5" fillId="0" borderId="0" xfId="0" applyFont="1" applyAlignment="1">
      <x:alignment vertical="center" wrapText="1"/>
    </x:xf>
    <x:xf numFmtId="164" fontId="5" fillId="0" borderId="0" xfId="0" applyNumberFormat="1" applyFont="1" applyAlignment="1">
      <x:alignment vertical="center" wrapText="1"/>
    </x:xf>
    <x:xf numFmtId="0" fontId="4" fillId="5" borderId="0" xfId="0" applyFont="1" applyFill="1"/>
    <x:xf numFmtId="0" fontId="4" fillId="6" borderId="0" xfId="0" applyFont="1" applyFill="1"/>
    <x:xf numFmtId="0" fontId="6" fillId="0" borderId="0" xfId="0" applyFont="1" applyAlignment="1">
      <x:alignment wrapText="1"/>
    </x:xf>
    <x:xf numFmtId="0" fontId="7" fillId="7" borderId="0" xfId="0" applyFont="1" applyFill="1" applyAlignment="1">
      <x:alignment horizontal="center" vertical="center" wrapText="1"/>
    </x:xf>
    <x:xf numFmtId="0" fontId="3" fillId="7" borderId="0" xfId="0" applyFont="1" applyFill="1" applyAlignment="1">
      <x:alignment horizontal="center" vertical="center"/>
    </x:xf>
    <x:xf numFmtId="0" fontId="4" fillId="8" borderId="0" xfId="0" applyFont="1" applyFill="1" applyAlignment="1">
      <x:alignment vertical="top"/>
    </x:xf>
    <x:xf numFmtId="0" fontId="1" fillId="0" borderId="0" xfId="0" applyFont="1"/>
    <x:xf numFmtId="0" fontId="0" fillId="0" borderId="0" xfId="0"/>
    <x:xf numFmtId="0" fontId="2" fillId="0" borderId="0" xfId="0" applyFont="1"/>
    <x:xf numFmtId="0" fontId="5" fillId="0" borderId="0" xfId="0" applyFont="1" applyAlignment="1">
      <x:alignment vertical="center" wrapText="1"/>
    </x:xf>
    <x:xf numFmtId="0" fontId="5" fillId="0" borderId="0" xfId="0" applyFont="1" applyAlignment="1">
      <x:alignment vertical="top" wrapText="1"/>
    </x:xf>
    <x:xf numFmtId="0" fontId="6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vertical="center" wrapText="1"/>
    </x:xf>
    <x:xf numFmtId="164" fontId="5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/>
    <x:xf numFmtId="0" fontId="4" fillId="6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164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98806bd7e4b8f" /><Relationship Type="http://schemas.openxmlformats.org/officeDocument/2006/relationships/theme" Target="/xl/theme/theme1.xml" Id="Rb518b53cee4d4734" /><Relationship Type="http://schemas.openxmlformats.org/officeDocument/2006/relationships/sharedStrings" Target="/xl/sharedStrings.xml" Id="R73457ddcd6384dfc" /><Relationship Type="http://schemas.openxmlformats.org/officeDocument/2006/relationships/worksheet" Target="/xl/worksheets/sheet1.xml" Id="Raba6f02c87644d99" /><Relationship Type="http://schemas.openxmlformats.org/officeDocument/2006/relationships/worksheet" Target="/xl/worksheets/sheet2.xml" Id="R66d9e419119243a1" /><Relationship Type="http://schemas.openxmlformats.org/officeDocument/2006/relationships/worksheet" Target="/xl/worksheets/sheet3.xml" Id="R2477cb9fbaa04f0c" /><Relationship Type="http://schemas.openxmlformats.org/officeDocument/2006/relationships/worksheet" Target="/xl/worksheets/sheet4.xml" Id="R0e55fff58ee5479f" /><Relationship Type="http://schemas.openxmlformats.org/officeDocument/2006/relationships/worksheet" Target="/xl/worksheets/sheet5.xml" Id="R8dd5f8a6d7a44afd" /><Relationship Type="http://schemas.openxmlformats.org/officeDocument/2006/relationships/worksheet" Target="/xl/worksheets/sheet6.xml" Id="R7571f319c3494b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5" customWidth="1"/>
    <x:col min="2" max="2" width="22" customWidth="1"/>
    <x:col min="3" max="3" width="18" customWidth="1"/>
    <x:col min="4" max="4" width="20" customWidth="1"/>
    <x:col min="5" max="5" width="24" customWidth="1"/>
    <x:col min="6" max="7" width="14" customWidth="1"/>
    <x:col min="8" max="8" width="37" customWidth="1"/>
  </x:cols>
  <x:sheetData>
    <x:row r="1">
      <x:c r="A1" s="34"/>
      <x:c r="B1" s="34"/>
      <x:c r="C1" s="34"/>
      <x:c r="D1" s="34"/>
      <x:c r="E1" s="34"/>
      <x:c r="F1" s="34"/>
      <x:c r="G1" s="34"/>
      <x:c r="H1" s="34"/>
    </x:row>
    <x:row r="2" ht="19.200000762939453">
      <x:c r="A2" s="35" t="str">
        <x:v>MeetUp Frontend - Phân công chức năng</x:v>
      </x:c>
      <x:c r="B2" s="34"/>
      <x:c r="C2" s="34"/>
      <x:c r="D2" s="34"/>
      <x:c r="E2" s="34"/>
      <x:c r="F2" s="34"/>
      <x:c r="G2" s="34"/>
      <x:c r="H2" s="34"/>
    </x:row>
    <x:row r="3">
      <x:c r="A3" s="36" t="str">
        <x:v>Workbook dành cho Frontend Mobile/Admin tối giản. Phân công theo domain để hai người làm song song và giảm xung đột code.</x:v>
      </x:c>
      <x:c r="B3" s="34"/>
      <x:c r="C3" s="34"/>
      <x:c r="D3" s="34"/>
      <x:c r="E3" s="34"/>
      <x:c r="F3" s="34"/>
      <x:c r="G3" s="34"/>
      <x:c r="H3" s="34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37" t="str">
        <x:v>Chỉ số</x:v>
      </x:c>
      <x:c r="B5" s="37" t="str">
        <x:v>Giá trị</x:v>
      </x:c>
      <x:c r="C5" s="34"/>
      <x:c r="D5" s="37" t="str">
        <x:v>Thành viên</x:v>
      </x:c>
      <x:c r="E5" s="37" t="str">
        <x:v>Phụ trách chính</x:v>
      </x:c>
      <x:c r="F5" s="37" t="str">
        <x:v>Điểm FE</x:v>
      </x:c>
      <x:c r="G5" s="37" t="str">
        <x:v>Tỷ lệ</x:v>
      </x:c>
      <x:c r="H5" s="37" t="str">
        <x:v>Mảng chính</x:v>
      </x:c>
    </x:row>
    <x:row r="6" ht="26.399999618530273">
      <x:c r="A6" s="38" t="str">
        <x:v>Tổng điểm chức năng FE</x:v>
      </x:c>
      <x:c r="B6" s="39" t="n">
        <x:f>SUM('Chức năng FE'!E6:E26)</x:f>
        <x:v>162</x:v>
      </x:c>
      <x:c r="C6" s="34"/>
      <x:c r="D6" s="40" t="str">
        <x:f>'Phân công FE'!A6</x:f>
        <x:v>Frontend 1</x:v>
      </x:c>
      <x:c r="E6" s="40" t="str">
        <x:f>'Phân công FE'!B6</x:f>
        <x:v>Account, social và nghiệp vụ meetup</x:v>
      </x:c>
      <x:c r="F6" s="40" t="n">
        <x:f>'Phân công FE'!C6</x:f>
        <x:v>81</x:v>
      </x:c>
      <x:c r="G6" s="33" t="n">
        <x:f>'Phân công FE'!D6</x:f>
        <x:v>0.5</x:v>
      </x:c>
      <x:c r="H6" s="40" t="str">
        <x:f>'Phân công FE'!E6</x:f>
        <x:v>App shell, auth, profile, friendship, meetup, preference, vote, history, favorite, navigation, admin, error/privacy states</x:v>
      </x:c>
    </x:row>
    <x:row r="7" ht="26.399999618530273">
      <x:c r="A7" s="38" t="str">
        <x:v>Chức năng Core</x:v>
      </x:c>
      <x:c r="B7" s="39" t="n">
        <x:f>COUNTIF('Chức năng FE'!D6:D26,"Core")</x:f>
        <x:v>15</x:v>
      </x:c>
      <x:c r="C7" s="34"/>
      <x:c r="D7" s="40" t="str">
        <x:f>'Phân công FE'!A7</x:f>
        <x:v>Frontend 2</x:v>
      </x:c>
      <x:c r="E7" s="40" t="str">
        <x:f>'Phân công FE'!B7</x:f>
        <x:v>GPS, map, realtime và tích hợp ngoài</x:v>
      </x:c>
      <x:c r="F7" s="40" t="n">
        <x:f>'Phân công FE'!C7</x:f>
        <x:v>81</x:v>
      </x:c>
      <x:c r="G7" s="33" t="n">
        <x:f>'Phân công FE'!D7</x:f>
        <x:v>0.5</x:v>
      </x:c>
      <x:c r="H7" s="40" t="str">
        <x:f>'Phân công FE'!E7</x:f>
        <x:v>GPS permission, friend map, Socket client, recommendation/ETA, Places, FCM/deep link, chat, AI explanation, nearby, mobile performance</x:v>
      </x:c>
    </x:row>
    <x:row r="8">
      <x:c r="A8" s="38" t="str">
        <x:v>Chức năng Planned</x:v>
      </x:c>
      <x:c r="B8" s="39" t="n">
        <x:f>COUNTIF('Chức năng FE'!D6:D26,"Planned")</x:f>
        <x:v>6</x:v>
      </x:c>
      <x:c r="C8" s="34"/>
      <x:c r="D8" s="40"/>
      <x:c r="E8" s="40"/>
      <x:c r="F8" s="40"/>
      <x:c r="G8" s="33"/>
      <x:c r="H8" s="40"/>
    </x:row>
    <x:row r="9">
      <x:c r="A9" s="38" t="str">
        <x:v>Điểm Core</x:v>
      </x:c>
      <x:c r="B9" s="39" t="n">
        <x:f>SUMIF('Chức năng FE'!D6:D26,"Core",'Chức năng FE'!E6:E26)</x:f>
        <x:v>126</x:v>
      </x:c>
      <x:c r="C9" s="34"/>
      <x:c r="D9" s="40"/>
      <x:c r="E9" s="40"/>
      <x:c r="F9" s="40"/>
      <x:c r="G9" s="33"/>
      <x:c r="H9" s="40"/>
    </x:row>
    <x:row r="10">
      <x:c r="A10" s="38" t="str">
        <x:v>Điểm Planned</x:v>
      </x:c>
      <x:c r="B10" s="39" t="n">
        <x:f>SUMIF('Chức năng FE'!D6:D26,"Planned",'Chức năng FE'!E6:E26)</x:f>
        <x:v>36</x:v>
      </x:c>
      <x:c r="C10" s="34"/>
      <x:c r="D10" s="34"/>
      <x:c r="E10" s="34"/>
      <x:c r="F10" s="34"/>
      <x:c r="G10" s="34"/>
      <x:c r="H10" s="34"/>
    </x:row>
    <x:row r="11">
      <x:c r="A11" s="38" t="str">
        <x:v>Số thành viên FE</x:v>
      </x:c>
      <x:c r="B11" s="39" t="n">
        <x:f>COUNTA('Phân công FE'!A6:A7)</x:f>
        <x:v>2</x:v>
      </x:c>
      <x:c r="C11" s="34"/>
      <x:c r="D11" s="34"/>
      <x:c r="E11" s="34"/>
      <x:c r="F11" s="34"/>
      <x:c r="G11" s="34"/>
      <x:c r="H11" s="34"/>
    </x:row>
    <x:row r="12">
      <x:c r="A12" s="34"/>
      <x:c r="B12" s="34"/>
      <x:c r="C12" s="34"/>
      <x:c r="D12" s="34"/>
      <x:c r="E12" s="34"/>
      <x:c r="F12" s="34"/>
      <x:c r="G12" s="34"/>
      <x:c r="H12" s="34"/>
    </x:row>
    <x:row r="13">
      <x:c r="A13" s="34"/>
      <x:c r="B13" s="34"/>
      <x:c r="C13" s="34"/>
      <x:c r="D13" s="34"/>
      <x:c r="E13" s="34"/>
      <x:c r="F13" s="34"/>
      <x:c r="G13" s="34"/>
      <x:c r="H13" s="34"/>
    </x:row>
    <x:row r="14">
      <x:c r="A14" s="37" t="str">
        <x:v>Sprint</x:v>
      </x:c>
      <x:c r="B14" s="37" t="str">
        <x:v>Mục tiêu Frontend</x:v>
      </x:c>
      <x:c r="C14" s="37" t="str">
        <x:v>Chức năng chính</x:v>
      </x:c>
      <x:c r="D14" s="37" t="str">
        <x:v>Kết quả cần có</x:v>
      </x:c>
      <x:c r="E14" s="34"/>
      <x:c r="F14" s="34"/>
      <x:c r="G14" s="34"/>
      <x:c r="H14" s="34"/>
    </x:row>
    <x:row r="15" ht="26.399999618530273">
      <x:c r="A15" s="40" t="str">
        <x:v>S1</x:v>
      </x:c>
      <x:c r="B15" s="40" t="str">
        <x:v>App shell, tài khoản và quan hệ</x:v>
      </x:c>
      <x:c r="C15" s="40" t="str">
        <x:v>FE-01 đến FE-03, FE-21</x:v>
      </x:c>
      <x:c r="D15" s="40" t="str">
        <x:v>Đi vào app, profile, kết bạn và navigation/component chung chạy ổn định</x:v>
      </x:c>
      <x:c r="E15" s="34"/>
      <x:c r="F15" s="34"/>
      <x:c r="G15" s="34"/>
      <x:c r="H15" s="34"/>
    </x:row>
    <x:row r="16" ht="39.599998474121094">
      <x:c r="A16" s="40" t="str">
        <x:v>S2</x:v>
      </x:c>
      <x:c r="B16" s="40" t="str">
        <x:v>GPS, privacy và realtime map</x:v>
      </x:c>
      <x:c r="C16" s="40" t="str">
        <x:v>FE-04 đến FE-06</x:v>
      </x:c>
      <x:c r="D16" s="40" t="str">
        <x:v>Xin quyền đúng, map có marker/stale state, Socket reconnect không nhân listener</x:v>
      </x:c>
      <x:c r="E16" s="34"/>
      <x:c r="F16" s="34"/>
      <x:c r="G16" s="34"/>
      <x:c r="H16" s="34"/>
    </x:row>
    <x:row r="17" ht="39.599998474121094">
      <x:c r="A17" s="40" t="str">
        <x:v>S3</x:v>
      </x:c>
      <x:c r="B17" s="40" t="str">
        <x:v>Meetup flow và preference</x:v>
      </x:c>
      <x:c r="C17" s="40" t="str">
        <x:v>FE-07 đến FE-09</x:v>
      </x:c>
      <x:c r="D17" s="40" t="str">
        <x:v>Tạo/mời/phản hồi meetup, preference tạm thời và trạng thái rõ ràng</x:v>
      </x:c>
      <x:c r="E17" s="34"/>
      <x:c r="F17" s="34"/>
      <x:c r="G17" s="34"/>
      <x:c r="H17" s="34"/>
    </x:row>
    <x:row r="18" ht="26.399999618530273">
      <x:c r="A18" s="40" t="str">
        <x:v>S4</x:v>
      </x:c>
      <x:c r="B18" s="40" t="str">
        <x:v>Recommendation và vote</x:v>
      </x:c>
      <x:c r="C18" s="40" t="str">
        <x:v>FE-10, FE-12</x:v>
      </x:c>
      <x:c r="D18" s="40" t="str">
        <x:v>Top 5 có ETA/scale label; vote realtime và chốt địa điểm</x:v>
      </x:c>
      <x:c r="E18" s="34"/>
      <x:c r="F18" s="34"/>
      <x:c r="G18" s="34"/>
      <x:c r="H18" s="34"/>
    </x:row>
    <x:row r="19" ht="26.399999618530273">
      <x:c r="A19" s="40" t="str">
        <x:v>S5</x:v>
      </x:c>
      <x:c r="B19" s="40" t="str">
        <x:v>Thông báo và tiện ích đã cam kết</x:v>
      </x:c>
      <x:c r="C19" s="40" t="str">
        <x:v>FE-11, FE-13, FE-14</x:v>
      </x:c>
      <x:c r="D19" s="40" t="str">
        <x:v>Open-now, FCM/deep link, lịch sử/yêu thích/dẫn đường</x:v>
      </x:c>
      <x:c r="E19" s="34"/>
      <x:c r="F19" s="34"/>
      <x:c r="G19" s="34"/>
      <x:c r="H19" s="34"/>
    </x:row>
    <x:row r="20" ht="26.399999618530273">
      <x:c r="A20" s="40" t="str">
        <x:v>S6–S7</x:v>
      </x:c>
      <x:c r="B20" s="40" t="str">
        <x:v>Chat, AI, nearby, admin, chất lượng</x:v>
      </x:c>
      <x:c r="C20" s="40" t="str">
        <x:v>FE-15 đến FE-20</x:v>
      </x:c>
      <x:c r="D20" s="40" t="str">
        <x:v>Chat/AI fallback/nearby, admin tối giản, error state và demo Android ổn định</x:v>
      </x:c>
      <x:c r="E20" s="34"/>
      <x:c r="F20" s="34"/>
      <x:c r="G20" s="34"/>
      <x:c r="H20" s="34"/>
    </x:row>
    <x:row r="21">
      <x:c r="A21" s="34"/>
      <x:c r="B21" s="34"/>
      <x:c r="C21" s="34"/>
      <x:c r="D21" s="34"/>
      <x:c r="E21" s="34"/>
      <x:c r="F21" s="34"/>
      <x:c r="G21" s="34"/>
      <x:c r="H21" s="34"/>
    </x:row>
    <x:row r="22">
      <x:c r="A22" s="34"/>
      <x:c r="B22" s="34"/>
      <x:c r="C22" s="34"/>
      <x:c r="D22" s="34"/>
      <x:c r="E22" s="34"/>
      <x:c r="F22" s="34"/>
      <x:c r="G22" s="34"/>
      <x:c r="H22" s="34"/>
    </x:row>
    <x:row r="23">
      <x:c r="A23" s="41" t="str">
        <x:v>Nguyên tắc</x:v>
      </x:c>
      <x:c r="B23" s="40" t="str">
        <x:v>Áp dụng</x:v>
      </x:c>
      <x:c r="C23" s="40"/>
      <x:c r="D23" s="40"/>
      <x:c r="E23" s="40"/>
      <x:c r="F23" s="40"/>
      <x:c r="G23" s="40"/>
      <x:c r="H23" s="40"/>
    </x:row>
    <x:row r="24">
      <x:c r="A24" s="41" t="str">
        <x:v>Chia theo domain</x:v>
      </x:c>
      <x:c r="B24" s="40" t="str">
        <x:v>Frontend 1 sở hữu account/social/meetup flow; Frontend 2 sở hữu GPS/map/realtime/recommendation/integration.</x:v>
      </x:c>
      <x:c r="C24" s="40"/>
      <x:c r="D24" s="40"/>
      <x:c r="E24" s="40"/>
      <x:c r="F24" s="40"/>
      <x:c r="G24" s="40"/>
      <x:c r="H24" s="40"/>
    </x:row>
    <x:row r="25">
      <x:c r="A25" s="41" t="str">
        <x:v>Nguồn sở thích</x:v>
      </x:c>
      <x:c r="B25" s="40" t="str">
        <x:v>MeetupMemberPreference ưu tiên; profile chỉ dùng để điền sẵn.</x:v>
      </x:c>
      <x:c r="C25" s="40"/>
      <x:c r="D25" s="40"/>
      <x:c r="E25" s="40"/>
      <x:c r="F25" s="40"/>
      <x:c r="G25" s="40"/>
      <x:c r="H25" s="40"/>
    </x:row>
    <x:row r="26">
      <x:c r="A26" s="41" t="str">
        <x:v>Privacy và stale state</x:v>
      </x:c>
      <x:c r="B26" s="40" t="str">
        <x:v>UI phải hiển thị rõ quyền GPS, vị trí cũ, mất mạng và trường hợp thiếu dữ liệu; không giả vờ realtime.</x:v>
      </x:c>
      <x:c r="C26" s="40"/>
      <x:c r="D26" s="40"/>
      <x:c r="E26" s="40"/>
      <x:c r="F26" s="40"/>
      <x:c r="G26" s="40"/>
      <x:c r="H26" s="40"/>
    </x:row>
    <x:row r="27">
      <x:c r="A27" s="41" t="str">
        <x:v>Review bắt buộc</x:v>
      </x:c>
      <x:c r="B27" s="40" t="str">
        <x:v>PR giao thoa navigation, state, Socket event, location, FCM và recommendation cần reviewer từ Frontend còn lại.</x:v>
      </x:c>
      <x:c r="C27" s="40"/>
      <x:c r="D27" s="40"/>
      <x:c r="E27" s="40"/>
      <x:c r="F27" s="40"/>
      <x:c r="G27" s="40"/>
      <x:c r="H27" s="40"/>
    </x:row>
  </x:sheetData>
  <x:mergeCells>
    <x:mergeCell ref="B26:H26"/>
    <x:mergeCell ref="B27:H27"/>
    <x:mergeCell ref="A2:H2"/>
    <x:mergeCell ref="A3:H3"/>
    <x:mergeCell ref="B23:H23"/>
    <x:mergeCell ref="B24:H24"/>
    <x:mergeCell ref="B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28" customWidth="1"/>
    <x:col min="3" max="3" width="42" customWidth="1"/>
    <x:col min="4" max="4" width="12" customWidth="1"/>
    <x:col min="5" max="5" width="11" customWidth="1"/>
    <x:col min="6" max="6" width="17" customWidth="1"/>
    <x:col min="7" max="7" width="10" customWidth="1"/>
    <x:col min="8" max="8" width="18" customWidth="1"/>
    <x:col min="9" max="9" width="45" customWidth="1"/>
  </x:cols>
  <x:sheetData>
    <x:row r="1">
      <x:c r="A1" s="34"/>
      <x:c r="B1" s="34"/>
      <x:c r="C1" s="34"/>
      <x:c r="D1" s="34"/>
      <x:c r="E1" s="34"/>
      <x:c r="F1" s="34"/>
      <x:c r="G1" s="34"/>
      <x:c r="H1" s="34"/>
      <x:c r="I1" s="34"/>
    </x:row>
    <x:row r="2" ht="19.200000762939453">
      <x:c r="A2" s="35" t="str">
        <x:v>Chức năng Frontend để chia việc</x:v>
      </x:c>
      <x:c r="B2" s="34"/>
      <x:c r="C2" s="34"/>
      <x:c r="D2" s="34"/>
      <x:c r="E2" s="34"/>
      <x:c r="F2" s="34"/>
      <x:c r="G2" s="34"/>
      <x:c r="H2" s="34"/>
      <x:c r="I2" s="34"/>
    </x:row>
    <x:row r="3">
      <x:c r="A3" s="36" t="str">
        <x:v>Mỗi dòng là một đơn vị giao việc. Người phụ trách chính chịu trách nhiệm UI, state, tích hợp API/event, test luồng chính và demo.</x:v>
      </x:c>
      <x:c r="B3" s="34"/>
      <x:c r="C3" s="34"/>
      <x:c r="D3" s="34"/>
      <x:c r="E3" s="34"/>
      <x:c r="F3" s="34"/>
      <x:c r="G3" s="34"/>
      <x:c r="H3" s="34"/>
      <x:c r="I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</x:row>
    <x:row r="5">
      <x:c r="A5" s="37" t="str">
        <x:v>Mã</x:v>
      </x:c>
      <x:c r="B5" s="37" t="str">
        <x:v>Chức năng Frontend</x:v>
      </x:c>
      <x:c r="C5" s="37" t="str">
        <x:v>UI / State / Integration chính</x:v>
      </x:c>
      <x:c r="D5" s="37" t="str">
        <x:v>Phạm vi</x:v>
      </x:c>
      <x:c r="E5" s="37" t="str">
        <x:v>Điểm FE</x:v>
      </x:c>
      <x:c r="F5" s="37" t="str">
        <x:v>Phụ trách</x:v>
      </x:c>
      <x:c r="G5" s="37" t="str">
        <x:v>Sprint</x:v>
      </x:c>
      <x:c r="H5" s="37" t="str">
        <x:v>Phụ thuộc</x:v>
      </x:c>
      <x:c r="I5" s="37" t="str">
        <x:v>Tiêu chí hoàn thành</x:v>
      </x:c>
    </x:row>
    <x:row r="6" ht="26.399999618530273">
      <x:c r="A6" s="40" t="str">
        <x:v>FE-01</x:v>
      </x:c>
      <x:c r="B6" s="40" t="str">
        <x:v>Xác thực và phiên đăng nhập</x:v>
      </x:c>
      <x:c r="C6" s="40" t="str">
        <x:v>Màn hình đăng ký/đăng nhập Email + Google; loading/error; logout/refresh token</x:v>
      </x:c>
      <x:c r="D6" s="40" t="str">
        <x:v>Core</x:v>
      </x:c>
      <x:c r="E6" s="40" t="n">
        <x:v>8</x:v>
      </x:c>
      <x:c r="F6" s="40" t="str">
        <x:v>Frontend 1</x:v>
      </x:c>
      <x:c r="G6" s="40" t="str">
        <x:v>S1</x:v>
      </x:c>
      <x:c r="H6" s="40" t="str">
        <x:v>-</x:v>
      </x:c>
      <x:c r="I6" s="40" t="str">
        <x:v>Đăng nhập/đăng xuất rõ trạng thái; tài khoản lỗi/khóa hiển thị đúng</x:v>
      </x:c>
    </x:row>
    <x:row r="7" ht="26.399999618530273">
      <x:c r="A7" s="40" t="str">
        <x:v>FE-02</x:v>
      </x:c>
      <x:c r="B7" s="40" t="str">
        <x:v>Hồ sơ và sở thích profile</x:v>
      </x:c>
      <x:c r="C7" s="40" t="str">
        <x:v>Profile, avatar/tên, sở thích mặc định dùng để prefill</x:v>
      </x:c>
      <x:c r="D7" s="40" t="str">
        <x:v>Core</x:v>
      </x:c>
      <x:c r="E7" s="40" t="n">
        <x:v>5</x:v>
      </x:c>
      <x:c r="F7" s="40" t="str">
        <x:v>Frontend 1</x:v>
      </x:c>
      <x:c r="G7" s="40" t="str">
        <x:v>S1</x:v>
      </x:c>
      <x:c r="H7" s="40" t="str">
        <x:v>FE-01</x:v>
      </x:c>
      <x:c r="I7" s="40" t="str">
        <x:v>Profile chỉ là dữ liệu điền sẵn, không ghi đè preference meetup</x:v>
      </x:c>
    </x:row>
    <x:row r="8">
      <x:c r="A8" s="40" t="str">
        <x:v>FE-03</x:v>
      </x:c>
      <x:c r="B8" s="40" t="str">
        <x:v>Bạn bè</x:v>
      </x:c>
      <x:c r="C8" s="40" t="str">
        <x:v>Tìm kiếm, gửi/nhận lời mời, accept/reject, danh sách bạn bè</x:v>
      </x:c>
      <x:c r="D8" s="40" t="str">
        <x:v>Core</x:v>
      </x:c>
      <x:c r="E8" s="40" t="n">
        <x:v>8</x:v>
      </x:c>
      <x:c r="F8" s="40" t="str">
        <x:v>Frontend 1</x:v>
      </x:c>
      <x:c r="G8" s="40" t="str">
        <x:v>S1</x:v>
      </x:c>
      <x:c r="H8" s="40" t="str">
        <x:v>FE-01</x:v>
      </x:c>
      <x:c r="I8" s="40" t="str">
        <x:v>Không cho tự kết bạn; trạng thái lời mời cập nhật đúng</x:v>
      </x:c>
    </x:row>
    <x:row r="9" ht="26.399999618530273">
      <x:c r="A9" s="40" t="str">
        <x:v>FE-04</x:v>
      </x:c>
      <x:c r="B9" s="40" t="str">
        <x:v>Quyền GPS và cài đặt chia sẻ vị trí</x:v>
      </x:c>
      <x:c r="C9" s="40" t="str">
        <x:v>Xin quyền hệ điều hành, bật/tắt chia sẻ, giải thích khi từ chối/tắt GPS</x:v>
      </x:c>
      <x:c r="D9" s="40" t="str">
        <x:v>Core</x:v>
      </x:c>
      <x:c r="E9" s="40" t="n">
        <x:v>8</x:v>
      </x:c>
      <x:c r="F9" s="40" t="str">
        <x:v>Frontend 2</x:v>
      </x:c>
      <x:c r="G9" s="40" t="str">
        <x:v>S2</x:v>
      </x:c>
      <x:c r="H9" s="40" t="str">
        <x:v>FE-01</x:v>
      </x:c>
      <x:c r="I9" s="40" t="str">
        <x:v>Có retry; UI phản ánh chính xác trạng thái quyền/chia sẻ</x:v>
      </x:c>
    </x:row>
    <x:row r="10" ht="26.399999618530273">
      <x:c r="A10" s="40" t="str">
        <x:v>FE-05</x:v>
      </x:c>
      <x:c r="B10" s="40" t="str">
        <x:v>Bản đồ bạn bè realtime</x:v>
      </x:c>
      <x:c r="C10" s="40" t="str">
        <x:v>Map, marker bạn bè, updatedAt, accuracy, nhãn vị trí cũ</x:v>
      </x:c>
      <x:c r="D10" s="40" t="str">
        <x:v>Core</x:v>
      </x:c>
      <x:c r="E10" s="40" t="n">
        <x:v>13</x:v>
      </x:c>
      <x:c r="F10" s="40" t="str">
        <x:v>Frontend 2</x:v>
      </x:c>
      <x:c r="G10" s="40" t="str">
        <x:v>S2</x:v>
      </x:c>
      <x:c r="H10" s="40" t="str">
        <x:v>FE-04</x:v>
      </x:c>
      <x:c r="I10" s="40" t="str">
        <x:v>Vị trí &gt;5 phút hiển thị cũ; marker cập nhật gần realtime</x:v>
      </x:c>
    </x:row>
    <x:row r="11" ht="26.399999618530273">
      <x:c r="A11" s="40" t="str">
        <x:v>FE-06</x:v>
      </x:c>
      <x:c r="B11" s="40" t="str">
        <x:v>Socket client và vòng đời location</x:v>
      </x:c>
      <x:c r="C11" s="40" t="str">
        <x:v>Kết nối Socket.IO, reconnect, presence, subscribe/unsubscribe event vị trí/meetup</x:v>
      </x:c>
      <x:c r="D11" s="40" t="str">
        <x:v>Core</x:v>
      </x:c>
      <x:c r="E11" s="40" t="n">
        <x:v>8</x:v>
      </x:c>
      <x:c r="F11" s="40" t="str">
        <x:v>Frontend 2</x:v>
      </x:c>
      <x:c r="G11" s="40" t="str">
        <x:v>S2</x:v>
      </x:c>
      <x:c r="H11" s="40" t="str">
        <x:v>FE-01, FE-04</x:v>
      </x:c>
      <x:c r="I11" s="40" t="str">
        <x:v>Mất mạng/reconnect không nhân đôi listener; chỉ hiển thị event hợp lệ</x:v>
      </x:c>
    </x:row>
    <x:row r="12" ht="26.399999618530273">
      <x:c r="A12" s="40" t="str">
        <x:v>FE-07</x:v>
      </x:c>
      <x:c r="B12" s="40" t="str">
        <x:v>Tạo/sửa/hủy Meetup</x:v>
      </x:c>
      <x:c r="C12" s="40" t="str">
        <x:v>Form tên/thời gian/loại/bán kính, chọn thành viên, màn chi tiết và trạng thái meetup</x:v>
      </x:c>
      <x:c r="D12" s="40" t="str">
        <x:v>Core</x:v>
      </x:c>
      <x:c r="E12" s="40" t="n">
        <x:v>13</x:v>
      </x:c>
      <x:c r="F12" s="40" t="str">
        <x:v>Frontend 1</x:v>
      </x:c>
      <x:c r="G12" s="40" t="str">
        <x:v>S3</x:v>
      </x:c>
      <x:c r="H12" s="40" t="str">
        <x:v>FE-03</x:v>
      </x:c>
      <x:c r="I12" s="40" t="str">
        <x:v>Không có giới hạn cứng số người; trạng thái meetup rõ ràng</x:v>
      </x:c>
    </x:row>
    <x:row r="13" ht="26.399999618530273">
      <x:c r="A13" s="40" t="str">
        <x:v>FE-08</x:v>
      </x:c>
      <x:c r="B13" s="40" t="str">
        <x:v>Lời mời và phản hồi Meetup</x:v>
      </x:c>
      <x:c r="C13" s="40" t="str">
        <x:v>Danh sách lời mời; accept/reject; trạng thái thành viên cập nhật realtime</x:v>
      </x:c>
      <x:c r="D13" s="40" t="str">
        <x:v>Core</x:v>
      </x:c>
      <x:c r="E13" s="40" t="n">
        <x:v>5</x:v>
      </x:c>
      <x:c r="F13" s="40" t="str">
        <x:v>Frontend 1</x:v>
      </x:c>
      <x:c r="G13" s="40" t="str">
        <x:v>S3</x:v>
      </x:c>
      <x:c r="H13" s="40" t="str">
        <x:v>FE-07</x:v>
      </x:c>
      <x:c r="I13" s="40" t="str">
        <x:v>Không phản hồi meetup đã hủy/chốt; người tạo thấy cập nhật</x:v>
      </x:c>
    </x:row>
    <x:row r="14" ht="26.399999618530273">
      <x:c r="A14" s="40" t="str">
        <x:v>FE-09</x:v>
      </x:c>
      <x:c r="B14" s="40" t="str">
        <x:v>Sở thích tạm thời Meetup</x:v>
      </x:c>
      <x:c r="C14" s="40" t="str">
        <x:v>UI chọn tag high/normal/avoid; prefill từ profile; chỉnh trước khi chốt</x:v>
      </x:c>
      <x:c r="D14" s="40" t="str">
        <x:v>Core</x:v>
      </x:c>
      <x:c r="E14" s="40" t="n">
        <x:v>5</x:v>
      </x:c>
      <x:c r="F14" s="40" t="str">
        <x:v>Frontend 1</x:v>
      </x:c>
      <x:c r="G14" s="40" t="str">
        <x:v>S3</x:v>
      </x:c>
      <x:c r="H14" s="40" t="str">
        <x:v>FE-02, FE-07</x:v>
      </x:c>
      <x:c r="I14" s="40" t="str">
        <x:v>Preference meetup được hiển thị/lưu riêng với profile</x:v>
      </x:c>
    </x:row>
    <x:row r="15">
      <x:c r="A15" s="40" t="str">
        <x:v>FE-10</x:v>
      </x:c>
      <x:c r="B15" s="40" t="str">
        <x:v>Kết quả gợi ý địa điểm</x:v>
      </x:c>
      <x:c r="C15" s="40" t="str">
        <x:v>Top 5, rating, Avg ETA, Max ETA, ETA từng người, nhãn exact/batch/cluster</x:v>
      </x:c>
      <x:c r="D15" s="40" t="str">
        <x:v>Core</x:v>
      </x:c>
      <x:c r="E15" s="40" t="n">
        <x:v>13</x:v>
      </x:c>
      <x:c r="F15" s="40" t="str">
        <x:v>Frontend 2</x:v>
      </x:c>
      <x:c r="G15" s="40" t="str">
        <x:v>S4</x:v>
      </x:c>
      <x:c r="H15" s="40" t="str">
        <x:v>FE-05, FE-07, FE-09</x:v>
      </x:c>
      <x:c r="I15" s="40" t="str">
        <x:v>Thiếu vị trí hiển thị rõ; kết quả theo quy mô được gắn nhãn đúng</x:v>
      </x:c>
    </x:row>
    <x:row r="16" ht="26.399999618530273">
      <x:c r="A16" s="40" t="str">
        <x:v>FE-11</x:v>
      </x:c>
      <x:c r="B16" s="40" t="str">
        <x:v>Chi tiết địa điểm và lọc đang mở cửa</x:v>
      </x:c>
      <x:c r="C16" s="40" t="str">
        <x:v>Place card/detail, trạng thái giờ mở cửa, bật/tắt lọc open-now</x:v>
      </x:c>
      <x:c r="D16" s="40" t="str">
        <x:v>Planned</x:v>
      </x:c>
      <x:c r="E16" s="40" t="n">
        <x:v>5</x:v>
      </x:c>
      <x:c r="F16" s="40" t="str">
        <x:v>Frontend 2</x:v>
      </x:c>
      <x:c r="G16" s="40" t="str">
        <x:v>S5</x:v>
      </x:c>
      <x:c r="H16" s="40" t="str">
        <x:v>FE-10</x:v>
      </x:c>
      <x:c r="I16" s="40" t="str">
        <x:v>Nếu Places thiếu giờ mở phải hiện 'chưa có dữ liệu', không tự suy đoán</x:v>
      </x:c>
    </x:row>
    <x:row r="17">
      <x:c r="A17" s="40" t="str">
        <x:v>FE-12</x:v>
      </x:c>
      <x:c r="B17" s="40" t="str">
        <x:v>Vote realtime và chốt địa điểm</x:v>
      </x:c>
      <x:c r="C17" s="40" t="str">
        <x:v>Vote/đổi vote, tổng phiếu realtime, người tạo chốt, trạng thái finalized</x:v>
      </x:c>
      <x:c r="D17" s="40" t="str">
        <x:v>Core</x:v>
      </x:c>
      <x:c r="E17" s="40" t="n">
        <x:v>8</x:v>
      </x:c>
      <x:c r="F17" s="40" t="str">
        <x:v>Frontend 1</x:v>
      </x:c>
      <x:c r="G17" s="40" t="str">
        <x:v>S4</x:v>
      </x:c>
      <x:c r="H17" s="40" t="str">
        <x:v>FE-06, FE-07, FE-10</x:v>
      </x:c>
      <x:c r="I17" s="40" t="str">
        <x:v>Một vote/người; khóa thao tác sau khi chốt</x:v>
      </x:c>
    </x:row>
    <x:row r="18" ht="26.399999618530273">
      <x:c r="A18" s="40" t="str">
        <x:v>FE-13</x:v>
      </x:c>
      <x:c r="B18" s="40" t="str">
        <x:v>FCM, nhắc lịch và deep link</x:v>
      </x:c>
      <x:c r="C18" s="40" t="str">
        <x:v>Nhận notification lời mời/chốt/nhắc lịch; chạm mở đúng màn hình</x:v>
      </x:c>
      <x:c r="D18" s="40" t="str">
        <x:v>Core</x:v>
      </x:c>
      <x:c r="E18" s="40" t="n">
        <x:v>8</x:v>
      </x:c>
      <x:c r="F18" s="40" t="str">
        <x:v>Frontend 2</x:v>
      </x:c>
      <x:c r="G18" s="40" t="str">
        <x:v>S5</x:v>
      </x:c>
      <x:c r="H18" s="40" t="str">
        <x:v>FE-07, FE-12</x:v>
      </x:c>
      <x:c r="I18" s="40" t="str">
        <x:v>Notification điều hướng đúng meetup; xử lý app foreground/background</x:v>
      </x:c>
    </x:row>
    <x:row r="19">
      <x:c r="A19" s="40" t="str">
        <x:v>FE-14</x:v>
      </x:c>
      <x:c r="B19" s="40" t="str">
        <x:v>Lịch sử, yêu thích và dẫn đường</x:v>
      </x:c>
      <x:c r="C19" s="40" t="str">
        <x:v>Danh sách meetup cũ, lưu/bỏ lưu địa điểm, mở Google Maps tới nơi đã chốt</x:v>
      </x:c>
      <x:c r="D19" s="40" t="str">
        <x:v>Planned</x:v>
      </x:c>
      <x:c r="E19" s="40" t="n">
        <x:v>8</x:v>
      </x:c>
      <x:c r="F19" s="40" t="str">
        <x:v>Frontend 1</x:v>
      </x:c>
      <x:c r="G19" s="40" t="str">
        <x:v>S5</x:v>
      </x:c>
      <x:c r="H19" s="40" t="str">
        <x:v>FE-10, FE-12</x:v>
      </x:c>
      <x:c r="I19" s="40" t="str">
        <x:v>Không hiển thị/lưu lịch sử GPS; favorite không trùng</x:v>
      </x:c>
    </x:row>
    <x:row r="20">
      <x:c r="A20" s="40" t="str">
        <x:v>FE-15</x:v>
      </x:c>
      <x:c r="B20" s="40" t="str">
        <x:v>Chat nhóm trong Meetup</x:v>
      </x:c>
      <x:c r="C20" s="40" t="str">
        <x:v>Danh sách tin, gửi/nhận realtime, trạng thái gửi/lỗi/reconnect</x:v>
      </x:c>
      <x:c r="D20" s="40" t="str">
        <x:v>Planned</x:v>
      </x:c>
      <x:c r="E20" s="40" t="n">
        <x:v>8</x:v>
      </x:c>
      <x:c r="F20" s="40" t="str">
        <x:v>Frontend 2</x:v>
      </x:c>
      <x:c r="G20" s="40" t="str">
        <x:v>S6</x:v>
      </x:c>
      <x:c r="H20" s="40" t="str">
        <x:v>FE-06, FE-07</x:v>
      </x:c>
      <x:c r="I20" s="40" t="str">
        <x:v>Chỉ thành viên hợp lệ đọc/gửi; UI báo lỗi khi mất mạng</x:v>
      </x:c>
    </x:row>
    <x:row r="21">
      <x:c r="A21" s="40" t="str">
        <x:v>FE-16</x:v>
      </x:c>
      <x:c r="B21" s="40" t="str">
        <x:v>AI giải thích đề xuất</x:v>
      </x:c>
      <x:c r="C21" s="40" t="str">
        <x:v>Nút 'Vì sao gợi ý?', modal/card giải thích, fallback theo rule khi AI lỗi</x:v>
      </x:c>
      <x:c r="D21" s="40" t="str">
        <x:v>Planned</x:v>
      </x:c>
      <x:c r="E21" s="40" t="n">
        <x:v>5</x:v>
      </x:c>
      <x:c r="F21" s="40" t="str">
        <x:v>Frontend 2</x:v>
      </x:c>
      <x:c r="G21" s="40" t="str">
        <x:v>S6</x:v>
      </x:c>
      <x:c r="H21" s="40" t="str">
        <x:v>FE-10</x:v>
      </x:c>
      <x:c r="I21" s="40" t="str">
        <x:v>Không hiển thị dữ liệu nhạy cảm; timeout dùng lý do fallback</x:v>
      </x:c>
    </x:row>
    <x:row r="22">
      <x:c r="A22" s="34" t="str">
        <x:v>FE-17</x:v>
      </x:c>
      <x:c r="B22" s="34" t="str">
        <x:v>Phát hiện bạn ở gần</x:v>
      </x:c>
      <x:c r="C22" s="34" t="str">
        <x:v>Opt-in, chọn ngưỡng, notification/gợi ý tạo meetup, trạng thái cooldown</x:v>
      </x:c>
      <x:c r="D22" s="34" t="str">
        <x:v>Planned</x:v>
      </x:c>
      <x:c r="E22" s="34" t="n">
        <x:v>5</x:v>
      </x:c>
      <x:c r="F22" s="34" t="str">
        <x:v>Frontend 2</x:v>
      </x:c>
      <x:c r="G22" s="34" t="str">
        <x:v>S6</x:v>
      </x:c>
      <x:c r="H22" s="34" t="str">
        <x:v>FE-04, FE-05, FE-13</x:v>
      </x:c>
      <x:c r="I22" s="34" t="str">
        <x:v>Chỉ gợi ý khi opt-in; không lộ vị trí chính xác</x:v>
      </x:c>
    </x:row>
    <x:row r="23" ht="26.399999618530273">
      <x:c r="A23" s="40" t="str">
        <x:v>FE-18</x:v>
      </x:c>
      <x:c r="B23" s="40" t="str">
        <x:v>Admin tối giản</x:v>
      </x:c>
      <x:c r="C23" s="40" t="str">
        <x:v>Danh sách tài khoản, khóa/mở khóa, báo cáo và số liệu cơ bản</x:v>
      </x:c>
      <x:c r="D23" s="40" t="str">
        <x:v>Planned</x:v>
      </x:c>
      <x:c r="E23" s="40" t="n">
        <x:v>5</x:v>
      </x:c>
      <x:c r="F23" s="40" t="str">
        <x:v>Frontend 1</x:v>
      </x:c>
      <x:c r="G23" s="40" t="str">
        <x:v>S7</x:v>
      </x:c>
      <x:c r="H23" s="40" t="str">
        <x:v>FE-01</x:v>
      </x:c>
      <x:c r="I23" s="40" t="str">
        <x:v>Thao tác quản trị có confirm/error state rõ ràng</x:v>
      </x:c>
    </x:row>
    <x:row r="24">
      <x:c r="A24" s="40" t="str">
        <x:v>FE-19</x:v>
      </x:c>
      <x:c r="B24" s="40" t="str">
        <x:v>Trạng thái lỗi, offline và privacy</x:v>
      </x:c>
      <x:c r="C24" s="40" t="str">
        <x:v>Màn/empty state cho GPS deny, stale location, network/socket lỗi, thiếu quyền</x:v>
      </x:c>
      <x:c r="D24" s="40" t="str">
        <x:v>Core</x:v>
      </x:c>
      <x:c r="E24" s="40" t="n">
        <x:v>8</x:v>
      </x:c>
      <x:c r="F24" s="40" t="str">
        <x:v>Frontend 1</x:v>
      </x:c>
      <x:c r="G24" s="40" t="str">
        <x:v>S7</x:v>
      </x:c>
      <x:c r="H24" s="40" t="str">
        <x:v>FE-04, FE-05, FE-06, FE-10</x:v>
      </x:c>
      <x:c r="I24" s="40" t="str">
        <x:v>Không giả vờ realtime; người dùng luôn biết vì sao dữ liệu thiếu</x:v>
      </x:c>
    </x:row>
    <x:row r="25">
      <x:c r="A25" s="40" t="str">
        <x:v>FE-20</x:v>
      </x:c>
      <x:c r="B25" s="40" t="str">
        <x:v>Hiệu năng mobile và chuẩn bị demo</x:v>
      </x:c>
      <x:c r="C25" s="40" t="str">
        <x:v>Theo dõi loading/re-render, số update vị trí, polish luồng demo, kiểm tra Android thật</x:v>
      </x:c>
      <x:c r="D25" s="40" t="str">
        <x:v>Core</x:v>
      </x:c>
      <x:c r="E25" s="40" t="n">
        <x:v>8</x:v>
      </x:c>
      <x:c r="F25" s="40" t="str">
        <x:v>Frontend 2</x:v>
      </x:c>
      <x:c r="G25" s="40" t="str">
        <x:v>S7</x:v>
      </x:c>
      <x:c r="H25" s="40" t="str">
        <x:v>FE-05, FE-06, FE-10</x:v>
      </x:c>
      <x:c r="I25" s="40" t="str">
        <x:v>Demo ổn định; có số liệu update/độ trễ cần thiết cho phần kiểm thử</x:v>
      </x:c>
    </x:row>
    <x:row r="26">
      <x:c r="A26" s="34" t="str">
        <x:v>FE-21</x:v>
      </x:c>
      <x:c r="B26" s="34" t="str">
        <x:v>App shell, navigation và component dùng chung</x:v>
      </x:c>
      <x:c r="C26" s="34" t="str">
        <x:v>Navigation structure, theme/component cơ bản, loading/empty/error component dùng chung</x:v>
      </x:c>
      <x:c r="D26" s="34" t="str">
        <x:v>Core</x:v>
      </x:c>
      <x:c r="E26" s="34" t="n">
        <x:v>8</x:v>
      </x:c>
      <x:c r="F26" s="34" t="str">
        <x:v>Frontend 1</x:v>
      </x:c>
      <x:c r="G26" s="34" t="str">
        <x:v>S1</x:v>
      </x:c>
      <x:c r="H26" s="34" t="str">
        <x:v>-</x:v>
      </x:c>
      <x:c r="I26" s="34" t="str">
        <x:v>Hai frontend dùng cùng convention; tránh tạo component/state trùng chức năng</x:v>
      </x:c>
    </x:row>
  </x:sheetData>
  <x:mergeCells>
    <x:mergeCell ref="A2:I2"/>
    <x:mergeCell ref="A3:I3"/>
  </x:mergeCells>
  <x:conditionalFormatting sqref="D6:D24">
    <x:cfRule type="expression" dxfId="3" priority="1">
      <x:formula>D6="Core"</x:formula>
    </x:cfRule>
    <x:cfRule type="expression" dxfId="2" priority="2">
      <x:formula>D6="Planned"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30" customWidth="1"/>
    <x:col min="3" max="3" width="12" customWidth="1"/>
    <x:col min="4" max="5" width="11" customWidth="1"/>
    <x:col min="6" max="6" width="17" customWidth="1"/>
    <x:col min="7" max="7" width="14" customWidth="1"/>
    <x:col min="8" max="8" width="18" customWidth="1"/>
    <x:col min="9" max="9" width="45" customWidth="1"/>
  </x:cols>
  <x:sheetData>
    <x:row r="1">
      <x:c r="A1" s="34"/>
      <x:c r="B1" s="34"/>
      <x:c r="C1" s="34"/>
      <x:c r="D1" s="34"/>
      <x:c r="E1" s="34"/>
      <x:c r="F1" s="34"/>
      <x:c r="G1" s="34"/>
      <x:c r="H1" s="34"/>
      <x:c r="I1" s="34"/>
    </x:row>
    <x:row r="2" ht="19.200000762939453">
      <x:c r="A2" s="35" t="str">
        <x:v>Backlog Frontend theo sprint</x:v>
      </x:c>
      <x:c r="B2" s="34"/>
      <x:c r="C2" s="34"/>
      <x:c r="D2" s="34"/>
      <x:c r="E2" s="34"/>
      <x:c r="F2" s="34"/>
      <x:c r="G2" s="34"/>
      <x:c r="H2" s="34"/>
      <x:c r="I2" s="34"/>
    </x:row>
    <x:row r="3">
      <x:c r="A3" s="36" t="str">
        <x:v>Đưa hạng mục sang Đang làm khi đã chốt API contract/event, UI state và tiêu chí hoàn thành với Backend.</x:v>
      </x:c>
      <x:c r="B3" s="34"/>
      <x:c r="C3" s="34"/>
      <x:c r="D3" s="34"/>
      <x:c r="E3" s="34"/>
      <x:c r="F3" s="34"/>
      <x:c r="G3" s="34"/>
      <x:c r="H3" s="34"/>
      <x:c r="I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</x:row>
    <x:row r="5">
      <x:c r="A5" s="37" t="str">
        <x:v>Mã</x:v>
      </x:c>
      <x:c r="B5" s="37" t="str">
        <x:v>Hạng mục Frontend</x:v>
      </x:c>
      <x:c r="C5" s="37" t="str">
        <x:v>Phạm vi</x:v>
      </x:c>
      <x:c r="D5" s="37" t="str">
        <x:v>Điểm</x:v>
      </x:c>
      <x:c r="E5" s="37" t="str">
        <x:v>Sprint</x:v>
      </x:c>
      <x:c r="F5" s="37" t="str">
        <x:v>Phụ trách</x:v>
      </x:c>
      <x:c r="G5" s="37" t="str">
        <x:v>Trạng thái</x:v>
      </x:c>
      <x:c r="H5" s="37" t="str">
        <x:v>Phụ thuộc</x:v>
      </x:c>
      <x:c r="I5" s="37" t="str">
        <x:v>Ghi chú</x:v>
      </x:c>
    </x:row>
    <x:row r="6" ht="26.399999618530273">
      <x:c r="A6" s="40" t="str">
        <x:v>FE-01</x:v>
      </x:c>
      <x:c r="B6" s="40" t="str">
        <x:v>Xác thực và phiên đăng nhập</x:v>
      </x:c>
      <x:c r="C6" s="40" t="str">
        <x:v>Core</x:v>
      </x:c>
      <x:c r="D6" s="40" t="n">
        <x:v>8</x:v>
      </x:c>
      <x:c r="E6" s="40" t="str">
        <x:v>S1</x:v>
      </x:c>
      <x:c r="F6" s="40" t="str">
        <x:v>Frontend 1</x:v>
      </x:c>
      <x:c r="G6" s="40" t="str">
        <x:v>Sẵn sàng</x:v>
      </x:c>
      <x:c r="H6" s="40" t="str">
        <x:v>-</x:v>
      </x:c>
      <x:c r="I6" s="40" t="str">
        <x:v>Đăng nhập/đăng xuất rõ trạng thái; tài khoản lỗi/khóa hiển thị đúng</x:v>
      </x:c>
    </x:row>
    <x:row r="7">
      <x:c r="A7" s="40" t="str">
        <x:v>FE-02</x:v>
      </x:c>
      <x:c r="B7" s="40" t="str">
        <x:v>Hồ sơ và sở thích profile</x:v>
      </x:c>
      <x:c r="C7" s="40" t="str">
        <x:v>Core</x:v>
      </x:c>
      <x:c r="D7" s="40" t="n">
        <x:v>5</x:v>
      </x:c>
      <x:c r="E7" s="40" t="str">
        <x:v>S1</x:v>
      </x:c>
      <x:c r="F7" s="40" t="str">
        <x:v>Frontend 1</x:v>
      </x:c>
      <x:c r="G7" s="40" t="str">
        <x:v>Sẵn sàng</x:v>
      </x:c>
      <x:c r="H7" s="40" t="str">
        <x:v>FE-01</x:v>
      </x:c>
      <x:c r="I7" s="40" t="str">
        <x:v>Profile chỉ là dữ liệu điền sẵn, không ghi đè preference meetup</x:v>
      </x:c>
    </x:row>
    <x:row r="8">
      <x:c r="A8" s="40" t="str">
        <x:v>FE-03</x:v>
      </x:c>
      <x:c r="B8" s="40" t="str">
        <x:v>Bạn bè</x:v>
      </x:c>
      <x:c r="C8" s="40" t="str">
        <x:v>Core</x:v>
      </x:c>
      <x:c r="D8" s="40" t="n">
        <x:v>8</x:v>
      </x:c>
      <x:c r="E8" s="40" t="str">
        <x:v>S1</x:v>
      </x:c>
      <x:c r="F8" s="40" t="str">
        <x:v>Frontend 1</x:v>
      </x:c>
      <x:c r="G8" s="40" t="str">
        <x:v>Sẵn sàng</x:v>
      </x:c>
      <x:c r="H8" s="40" t="str">
        <x:v>FE-01</x:v>
      </x:c>
      <x:c r="I8" s="40" t="str">
        <x:v>Không cho tự kết bạn; trạng thái lời mời cập nhật đúng</x:v>
      </x:c>
    </x:row>
    <x:row r="9">
      <x:c r="A9" s="40" t="str">
        <x:v>FE-04</x:v>
      </x:c>
      <x:c r="B9" s="40" t="str">
        <x:v>Quyền GPS và cài đặt chia sẻ vị trí</x:v>
      </x:c>
      <x:c r="C9" s="40" t="str">
        <x:v>Core</x:v>
      </x:c>
      <x:c r="D9" s="40" t="n">
        <x:v>8</x:v>
      </x:c>
      <x:c r="E9" s="40" t="str">
        <x:v>S2</x:v>
      </x:c>
      <x:c r="F9" s="40" t="str">
        <x:v>Frontend 2</x:v>
      </x:c>
      <x:c r="G9" s="40" t="str">
        <x:v>Sẵn sàng</x:v>
      </x:c>
      <x:c r="H9" s="40" t="str">
        <x:v>FE-01</x:v>
      </x:c>
      <x:c r="I9" s="40" t="str">
        <x:v>Có retry; UI phản ánh chính xác trạng thái quyền/chia sẻ</x:v>
      </x:c>
    </x:row>
    <x:row r="10">
      <x:c r="A10" s="40" t="str">
        <x:v>FE-05</x:v>
      </x:c>
      <x:c r="B10" s="40" t="str">
        <x:v>Bản đồ bạn bè realtime</x:v>
      </x:c>
      <x:c r="C10" s="40" t="str">
        <x:v>Core</x:v>
      </x:c>
      <x:c r="D10" s="40" t="n">
        <x:v>13</x:v>
      </x:c>
      <x:c r="E10" s="40" t="str">
        <x:v>S2</x:v>
      </x:c>
      <x:c r="F10" s="40" t="str">
        <x:v>Frontend 2</x:v>
      </x:c>
      <x:c r="G10" s="40" t="str">
        <x:v>Sẵn sàng</x:v>
      </x:c>
      <x:c r="H10" s="40" t="str">
        <x:v>FE-04</x:v>
      </x:c>
      <x:c r="I10" s="40" t="str">
        <x:v>Vị trí &gt;5 phút hiển thị cũ; marker cập nhật gần realtime</x:v>
      </x:c>
    </x:row>
    <x:row r="11" ht="26.399999618530273">
      <x:c r="A11" s="40" t="str">
        <x:v>FE-06</x:v>
      </x:c>
      <x:c r="B11" s="40" t="str">
        <x:v>Socket client và vòng đời location</x:v>
      </x:c>
      <x:c r="C11" s="40" t="str">
        <x:v>Core</x:v>
      </x:c>
      <x:c r="D11" s="40" t="n">
        <x:v>8</x:v>
      </x:c>
      <x:c r="E11" s="40" t="str">
        <x:v>S2</x:v>
      </x:c>
      <x:c r="F11" s="40" t="str">
        <x:v>Frontend 2</x:v>
      </x:c>
      <x:c r="G11" s="40" t="str">
        <x:v>Sẵn sàng</x:v>
      </x:c>
      <x:c r="H11" s="40" t="str">
        <x:v>FE-01, FE-04</x:v>
      </x:c>
      <x:c r="I11" s="40" t="str">
        <x:v>Mất mạng/reconnect không nhân đôi listener; chỉ hiển thị event hợp lệ</x:v>
      </x:c>
    </x:row>
    <x:row r="12" ht="26.399999618530273">
      <x:c r="A12" s="40" t="str">
        <x:v>FE-07</x:v>
      </x:c>
      <x:c r="B12" s="40" t="str">
        <x:v>Tạo/sửa/hủy Meetup</x:v>
      </x:c>
      <x:c r="C12" s="40" t="str">
        <x:v>Core</x:v>
      </x:c>
      <x:c r="D12" s="40" t="n">
        <x:v>13</x:v>
      </x:c>
      <x:c r="E12" s="40" t="str">
        <x:v>S3</x:v>
      </x:c>
      <x:c r="F12" s="40" t="str">
        <x:v>Frontend 1</x:v>
      </x:c>
      <x:c r="G12" s="40" t="str">
        <x:v>Sẵn sàng</x:v>
      </x:c>
      <x:c r="H12" s="40" t="str">
        <x:v>FE-03</x:v>
      </x:c>
      <x:c r="I12" s="40" t="str">
        <x:v>Không có giới hạn cứng số người; trạng thái meetup rõ ràng</x:v>
      </x:c>
    </x:row>
    <x:row r="13">
      <x:c r="A13" s="40" t="str">
        <x:v>FE-08</x:v>
      </x:c>
      <x:c r="B13" s="40" t="str">
        <x:v>Lời mời và phản hồi Meetup</x:v>
      </x:c>
      <x:c r="C13" s="40" t="str">
        <x:v>Core</x:v>
      </x:c>
      <x:c r="D13" s="40" t="n">
        <x:v>5</x:v>
      </x:c>
      <x:c r="E13" s="40" t="str">
        <x:v>S3</x:v>
      </x:c>
      <x:c r="F13" s="40" t="str">
        <x:v>Frontend 1</x:v>
      </x:c>
      <x:c r="G13" s="40" t="str">
        <x:v>Sẵn sàng</x:v>
      </x:c>
      <x:c r="H13" s="40" t="str">
        <x:v>FE-07</x:v>
      </x:c>
      <x:c r="I13" s="40" t="str">
        <x:v>Không phản hồi meetup đã hủy/chốt; người tạo thấy cập nhật</x:v>
      </x:c>
    </x:row>
    <x:row r="14">
      <x:c r="A14" s="40" t="str">
        <x:v>FE-09</x:v>
      </x:c>
      <x:c r="B14" s="40" t="str">
        <x:v>Sở thích tạm thời Meetup</x:v>
      </x:c>
      <x:c r="C14" s="40" t="str">
        <x:v>Core</x:v>
      </x:c>
      <x:c r="D14" s="40" t="n">
        <x:v>5</x:v>
      </x:c>
      <x:c r="E14" s="40" t="str">
        <x:v>S3</x:v>
      </x:c>
      <x:c r="F14" s="40" t="str">
        <x:v>Frontend 1</x:v>
      </x:c>
      <x:c r="G14" s="40" t="str">
        <x:v>Sẵn sàng</x:v>
      </x:c>
      <x:c r="H14" s="40" t="str">
        <x:v>FE-02, FE-07</x:v>
      </x:c>
      <x:c r="I14" s="40" t="str">
        <x:v>Preference meetup được hiển thị/lưu riêng với profile</x:v>
      </x:c>
    </x:row>
    <x:row r="15">
      <x:c r="A15" s="40" t="str">
        <x:v>FE-10</x:v>
      </x:c>
      <x:c r="B15" s="40" t="str">
        <x:v>Kết quả gợi ý địa điểm</x:v>
      </x:c>
      <x:c r="C15" s="40" t="str">
        <x:v>Core</x:v>
      </x:c>
      <x:c r="D15" s="40" t="n">
        <x:v>13</x:v>
      </x:c>
      <x:c r="E15" s="40" t="str">
        <x:v>S4</x:v>
      </x:c>
      <x:c r="F15" s="40" t="str">
        <x:v>Frontend 2</x:v>
      </x:c>
      <x:c r="G15" s="40" t="str">
        <x:v>Sẵn sàng</x:v>
      </x:c>
      <x:c r="H15" s="40" t="str">
        <x:v>FE-05, FE-07, FE-09</x:v>
      </x:c>
      <x:c r="I15" s="40" t="str">
        <x:v>Thiếu vị trí hiển thị rõ; kết quả theo quy mô được gắn nhãn đúng</x:v>
      </x:c>
    </x:row>
    <x:row r="16">
      <x:c r="A16" s="40" t="str">
        <x:v>FE-11</x:v>
      </x:c>
      <x:c r="B16" s="40" t="str">
        <x:v>Chi tiết địa điểm và lọc đang mở cửa</x:v>
      </x:c>
      <x:c r="C16" s="40" t="str">
        <x:v>Planned</x:v>
      </x:c>
      <x:c r="D16" s="40" t="n">
        <x:v>5</x:v>
      </x:c>
      <x:c r="E16" s="40" t="str">
        <x:v>S5</x:v>
      </x:c>
      <x:c r="F16" s="40" t="str">
        <x:v>Frontend 2</x:v>
      </x:c>
      <x:c r="G16" s="40" t="str">
        <x:v>Sẵn sàng</x:v>
      </x:c>
      <x:c r="H16" s="40" t="str">
        <x:v>FE-10</x:v>
      </x:c>
      <x:c r="I16" s="40" t="str">
        <x:v>Nếu Places thiếu giờ mở phải hiện 'chưa có dữ liệu', không tự suy đoán</x:v>
      </x:c>
    </x:row>
    <x:row r="17">
      <x:c r="A17" s="40" t="str">
        <x:v>FE-12</x:v>
      </x:c>
      <x:c r="B17" s="40" t="str">
        <x:v>Vote realtime và chốt địa điểm</x:v>
      </x:c>
      <x:c r="C17" s="40" t="str">
        <x:v>Core</x:v>
      </x:c>
      <x:c r="D17" s="40" t="n">
        <x:v>8</x:v>
      </x:c>
      <x:c r="E17" s="40" t="str">
        <x:v>S4</x:v>
      </x:c>
      <x:c r="F17" s="40" t="str">
        <x:v>Frontend 1</x:v>
      </x:c>
      <x:c r="G17" s="40" t="str">
        <x:v>Sẵn sàng</x:v>
      </x:c>
      <x:c r="H17" s="40" t="str">
        <x:v>FE-06, FE-07, FE-10</x:v>
      </x:c>
      <x:c r="I17" s="40" t="str">
        <x:v>Một vote/người; khóa thao tác sau khi chốt</x:v>
      </x:c>
    </x:row>
    <x:row r="18">
      <x:c r="A18" s="40" t="str">
        <x:v>FE-13</x:v>
      </x:c>
      <x:c r="B18" s="40" t="str">
        <x:v>FCM, nhắc lịch và deep link</x:v>
      </x:c>
      <x:c r="C18" s="40" t="str">
        <x:v>Core</x:v>
      </x:c>
      <x:c r="D18" s="40" t="n">
        <x:v>8</x:v>
      </x:c>
      <x:c r="E18" s="40" t="str">
        <x:v>S5</x:v>
      </x:c>
      <x:c r="F18" s="40" t="str">
        <x:v>Frontend 2</x:v>
      </x:c>
      <x:c r="G18" s="40" t="str">
        <x:v>Sẵn sàng</x:v>
      </x:c>
      <x:c r="H18" s="40" t="str">
        <x:v>FE-07, FE-12</x:v>
      </x:c>
      <x:c r="I18" s="40" t="str">
        <x:v>Notification điều hướng đúng meetup; xử lý app foreground/background</x:v>
      </x:c>
    </x:row>
    <x:row r="19">
      <x:c r="A19" s="40" t="str">
        <x:v>FE-14</x:v>
      </x:c>
      <x:c r="B19" s="40" t="str">
        <x:v>Lịch sử, yêu thích và dẫn đường</x:v>
      </x:c>
      <x:c r="C19" s="40" t="str">
        <x:v>Planned</x:v>
      </x:c>
      <x:c r="D19" s="40" t="n">
        <x:v>8</x:v>
      </x:c>
      <x:c r="E19" s="40" t="str">
        <x:v>S5</x:v>
      </x:c>
      <x:c r="F19" s="40" t="str">
        <x:v>Frontend 1</x:v>
      </x:c>
      <x:c r="G19" s="40" t="str">
        <x:v>Sẵn sàng</x:v>
      </x:c>
      <x:c r="H19" s="40" t="str">
        <x:v>FE-10, FE-12</x:v>
      </x:c>
      <x:c r="I19" s="40" t="str">
        <x:v>Không hiển thị/lưu lịch sử GPS; favorite không trùng</x:v>
      </x:c>
    </x:row>
    <x:row r="20" ht="26.399999618530273">
      <x:c r="A20" s="40" t="str">
        <x:v>FE-15</x:v>
      </x:c>
      <x:c r="B20" s="40" t="str">
        <x:v>Chat nhóm trong Meetup</x:v>
      </x:c>
      <x:c r="C20" s="40" t="str">
        <x:v>Planned</x:v>
      </x:c>
      <x:c r="D20" s="40" t="n">
        <x:v>8</x:v>
      </x:c>
      <x:c r="E20" s="40" t="str">
        <x:v>S6</x:v>
      </x:c>
      <x:c r="F20" s="40" t="str">
        <x:v>Frontend 2</x:v>
      </x:c>
      <x:c r="G20" s="40" t="str">
        <x:v>Sẵn sàng</x:v>
      </x:c>
      <x:c r="H20" s="40" t="str">
        <x:v>FE-06, FE-07</x:v>
      </x:c>
      <x:c r="I20" s="40" t="str">
        <x:v>Chỉ thành viên hợp lệ đọc/gửi; UI báo lỗi khi mất mạng</x:v>
      </x:c>
    </x:row>
    <x:row r="21">
      <x:c r="A21" s="40" t="str">
        <x:v>FE-16</x:v>
      </x:c>
      <x:c r="B21" s="40" t="str">
        <x:v>AI giải thích đề xuất</x:v>
      </x:c>
      <x:c r="C21" s="40" t="str">
        <x:v>Planned</x:v>
      </x:c>
      <x:c r="D21" s="40" t="n">
        <x:v>5</x:v>
      </x:c>
      <x:c r="E21" s="40" t="str">
        <x:v>S6</x:v>
      </x:c>
      <x:c r="F21" s="40" t="str">
        <x:v>Frontend 2</x:v>
      </x:c>
      <x:c r="G21" s="40" t="str">
        <x:v>Sẵn sàng</x:v>
      </x:c>
      <x:c r="H21" s="40" t="str">
        <x:v>FE-10</x:v>
      </x:c>
      <x:c r="I21" s="40" t="str">
        <x:v>Không hiển thị dữ liệu nhạy cảm; timeout dùng lý do fallback</x:v>
      </x:c>
    </x:row>
    <x:row r="22">
      <x:c r="A22" s="40" t="str">
        <x:v>FE-17</x:v>
      </x:c>
      <x:c r="B22" s="40" t="str">
        <x:v>Phát hiện bạn ở gần</x:v>
      </x:c>
      <x:c r="C22" s="40" t="str">
        <x:v>Planned</x:v>
      </x:c>
      <x:c r="D22" s="40" t="n">
        <x:v>5</x:v>
      </x:c>
      <x:c r="E22" s="40" t="str">
        <x:v>S6</x:v>
      </x:c>
      <x:c r="F22" s="40" t="str">
        <x:v>Frontend 2</x:v>
      </x:c>
      <x:c r="G22" s="40" t="str">
        <x:v>Sẵn sàng</x:v>
      </x:c>
      <x:c r="H22" s="40" t="str">
        <x:v>FE-04, FE-05, FE-13</x:v>
      </x:c>
      <x:c r="I22" s="40" t="str">
        <x:v>Chỉ gợi ý khi opt-in; không lộ vị trí chính xác</x:v>
      </x:c>
    </x:row>
    <x:row r="23">
      <x:c r="A23" s="40" t="str">
        <x:v>FE-18</x:v>
      </x:c>
      <x:c r="B23" s="40" t="str">
        <x:v>Admin tối giản</x:v>
      </x:c>
      <x:c r="C23" s="40" t="str">
        <x:v>Planned</x:v>
      </x:c>
      <x:c r="D23" s="40" t="n">
        <x:v>5</x:v>
      </x:c>
      <x:c r="E23" s="40" t="str">
        <x:v>S7</x:v>
      </x:c>
      <x:c r="F23" s="40" t="str">
        <x:v>Frontend 1</x:v>
      </x:c>
      <x:c r="G23" s="40" t="str">
        <x:v>Sẵn sàng</x:v>
      </x:c>
      <x:c r="H23" s="40" t="str">
        <x:v>FE-01</x:v>
      </x:c>
      <x:c r="I23" s="40" t="str">
        <x:v>Thao tác quản trị có confirm/error state rõ ràng</x:v>
      </x:c>
    </x:row>
    <x:row r="24">
      <x:c r="A24" s="40" t="str">
        <x:v>FE-19</x:v>
      </x:c>
      <x:c r="B24" s="40" t="str">
        <x:v>Trạng thái lỗi, offline và privacy</x:v>
      </x:c>
      <x:c r="C24" s="40" t="str">
        <x:v>Core</x:v>
      </x:c>
      <x:c r="D24" s="40" t="n">
        <x:v>8</x:v>
      </x:c>
      <x:c r="E24" s="40" t="str">
        <x:v>S7</x:v>
      </x:c>
      <x:c r="F24" s="40" t="str">
        <x:v>Frontend 1</x:v>
      </x:c>
      <x:c r="G24" s="40" t="str">
        <x:v>Sẵn sàng</x:v>
      </x:c>
      <x:c r="H24" s="40" t="str">
        <x:v>FE-04, FE-05, FE-06, FE-10</x:v>
      </x:c>
      <x:c r="I24" s="40" t="str">
        <x:v>Không giả vờ realtime; người dùng luôn biết vì sao dữ liệu thiếu</x:v>
      </x:c>
    </x:row>
    <x:row r="25">
      <x:c r="A25" s="34" t="str">
        <x:v>FE-20</x:v>
      </x:c>
      <x:c r="B25" s="34" t="str">
        <x:v>Hiệu năng mobile và chuẩn bị demo</x:v>
      </x:c>
      <x:c r="C25" s="34" t="str">
        <x:v>Core</x:v>
      </x:c>
      <x:c r="D25" s="34" t="n">
        <x:v>8</x:v>
      </x:c>
      <x:c r="E25" s="34" t="str">
        <x:v>S7</x:v>
      </x:c>
      <x:c r="F25" s="34" t="str">
        <x:v>Frontend 2</x:v>
      </x:c>
      <x:c r="G25" s="34" t="str">
        <x:v>Sẵn sàng</x:v>
      </x:c>
      <x:c r="H25" s="34" t="str">
        <x:v>FE-05, FE-06, FE-10</x:v>
      </x:c>
      <x:c r="I25" s="34" t="str">
        <x:v>Demo ổn định; có số liệu update/độ trễ cần thiết cho phần kiểm thử</x:v>
      </x:c>
    </x:row>
    <x:row r="26">
      <x:c r="A26" s="34" t="str">
        <x:v>FE-21</x:v>
      </x:c>
      <x:c r="B26" s="34" t="str">
        <x:v>App shell, navigation và component dùng chung</x:v>
      </x:c>
      <x:c r="C26" s="34" t="str">
        <x:v>Core</x:v>
      </x:c>
      <x:c r="D26" s="34" t="n">
        <x:v>8</x:v>
      </x:c>
      <x:c r="E26" s="34" t="str">
        <x:v>S1</x:v>
      </x:c>
      <x:c r="F26" s="34" t="str">
        <x:v>Frontend 1</x:v>
      </x:c>
      <x:c r="G26" s="34" t="str">
        <x:v>Sẵn sàng</x:v>
      </x:c>
      <x:c r="H26" s="34" t="str">
        <x:v>-</x:v>
      </x:c>
      <x:c r="I26" s="34" t="str">
        <x:v>Hai frontend dùng cùng convention; tránh tạo component/state trùng chức năng</x:v>
      </x:c>
    </x:row>
  </x:sheetData>
  <x:mergeCells>
    <x:mergeCell ref="A2:I2"/>
    <x:mergeCell ref="A3:I3"/>
  </x:mergeCells>
  <x:conditionalFormatting sqref="C6:C24">
    <x:cfRule type="expression" dxfId="1" priority="1">
      <x:formula>C6="Core"</x:formula>
    </x:cfRule>
    <x:cfRule type="expression" dxfId="0" priority="2">
      <x:formula>C6="Planned"</x:formula>
    </x:cfRule>
  </x:conditionalFormatting>
  <x:dataValidations count="1">
    <x:dataValidation type="list" sqref="G6:G26">
      <x:formula1>"Sẵn sàng,Đang làm,Đang review,Bị chặn,Hoàn thành"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20" customWidth="1"/>
    <x:col min="2" max="2" width="28" customWidth="1"/>
    <x:col min="3" max="4" width="13" customWidth="1"/>
    <x:col min="5" max="5" width="38" customWidth="1"/>
    <x:col min="6" max="6" width="32" customWidth="1"/>
  </x:cols>
  <x:sheetData>
    <x:row r="1">
      <x:c r="A1" s="34"/>
      <x:c r="B1" s="34"/>
      <x:c r="C1" s="34"/>
      <x:c r="D1" s="34"/>
      <x:c r="E1" s="34"/>
      <x:c r="F1" s="34"/>
    </x:row>
    <x:row r="2" ht="19.200000762939453">
      <x:c r="A2" s="35" t="str">
        <x:v>Phân công Frontend</x:v>
      </x:c>
      <x:c r="B2" s="34"/>
      <x:c r="C2" s="34"/>
      <x:c r="D2" s="34"/>
      <x:c r="E2" s="34"/>
      <x:c r="F2" s="34"/>
      <x:c r="G2" s="13"/>
      <x:c r="H2" s="13"/>
    </x:row>
    <x:row r="3">
      <x:c r="A3" s="36" t="str">
        <x:v>Thay “Frontend 1–2” bằng tên thật. Tổng điểm được lấy trực tiếp từ sheet Chức năng FE.</x:v>
      </x:c>
      <x:c r="B3" s="34"/>
      <x:c r="C3" s="34"/>
      <x:c r="D3" s="34"/>
      <x:c r="E3" s="34"/>
      <x:c r="F3" s="34"/>
      <x:c r="G3" s="13"/>
      <x:c r="H3" s="13"/>
    </x:row>
    <x:row r="4">
      <x:c r="A4" s="34"/>
      <x:c r="B4" s="34"/>
      <x:c r="C4" s="34"/>
      <x:c r="D4" s="34"/>
      <x:c r="E4" s="34"/>
      <x:c r="F4" s="34"/>
    </x:row>
    <x:row r="5">
      <x:c r="A5" s="37" t="str">
        <x:v>Thành viên</x:v>
      </x:c>
      <x:c r="B5" s="37" t="str">
        <x:v>Vai trò Frontend</x:v>
      </x:c>
      <x:c r="C5" s="37" t="str">
        <x:v>Điểm FE</x:v>
      </x:c>
      <x:c r="D5" s="37" t="str">
        <x:v>Tỷ lệ</x:v>
      </x:c>
      <x:c r="E5" s="37" t="str">
        <x:v>Mảng chính</x:v>
      </x:c>
      <x:c r="F5" s="37" t="str">
        <x:v>Review bắt buộc</x:v>
      </x:c>
    </x:row>
    <x:row r="6" ht="26.399999618530273">
      <x:c r="A6" s="40" t="str">
        <x:v>Frontend 1</x:v>
      </x:c>
      <x:c r="B6" s="40" t="str">
        <x:v>Account, social và nghiệp vụ meetup</x:v>
      </x:c>
      <x:c r="C6" s="40" t="n">
        <x:f>SUMIF('Chức năng FE'!$F$6:$F$26,A6,'Chức năng FE'!$E$6:$E$26)</x:f>
        <x:v>81</x:v>
      </x:c>
      <x:c r="D6" s="33" t="n">
        <x:f>C6/SUM($C$6:$C$7)</x:f>
        <x:v>0.5</x:v>
      </x:c>
      <x:c r="E6" s="40" t="str">
        <x:v>App shell, auth, profile, friendship, meetup, preference, vote, history, favorite, navigation, admin, error/privacy states</x:v>
      </x:c>
      <x:c r="F6" s="40" t="str">
        <x:v>GPS, map, Socket, recommendation, FCM, chat, AI và nearby</x:v>
      </x:c>
    </x:row>
    <x:row r="7" ht="26.399999618530273">
      <x:c r="A7" s="40" t="str">
        <x:v>Frontend 2</x:v>
      </x:c>
      <x:c r="B7" s="40" t="str">
        <x:v>GPS, map, realtime và tích hợp ngoài</x:v>
      </x:c>
      <x:c r="C7" s="40" t="n">
        <x:f>SUMIF('Chức năng FE'!$F$6:$F$26,A7,'Chức năng FE'!$E$6:$E$26)</x:f>
        <x:v>81</x:v>
      </x:c>
      <x:c r="D7" s="33" t="n">
        <x:f>C7/SUM($C$6:$C$7)</x:f>
        <x:v>0.5</x:v>
      </x:c>
      <x:c r="E7" s="40" t="str">
        <x:v>GPS permission, friend map, Socket client, recommendation/ETA, Places, FCM/deep link, chat, AI explanation, nearby, mobile performance</x:v>
      </x:c>
      <x:c r="F7" s="40" t="str">
        <x:v>Luồng account/social/meetup, navigation/state chung và privacy UX</x:v>
      </x:c>
    </x:row>
    <x:row r="8">
      <x:c r="A8" s="40"/>
      <x:c r="B8" s="40"/>
      <x:c r="C8" s="40"/>
      <x:c r="D8" s="33"/>
      <x:c r="E8" s="40"/>
      <x:c r="F8" s="40"/>
    </x:row>
    <x:row r="9">
      <x:c r="A9" s="40"/>
      <x:c r="B9" s="40"/>
      <x:c r="C9" s="40"/>
      <x:c r="D9" s="33"/>
      <x:c r="E9" s="40"/>
      <x:c r="F9" s="40"/>
    </x:row>
    <x:row r="10">
      <x:c r="A10" s="34"/>
      <x:c r="B10" s="34"/>
      <x:c r="C10" s="34"/>
      <x:c r="D10" s="34"/>
      <x:c r="E10" s="34"/>
      <x:c r="F10" s="34"/>
    </x:row>
    <x:row r="11">
      <x:c r="A11" s="34"/>
      <x:c r="B11" s="34"/>
      <x:c r="C11" s="34"/>
      <x:c r="D11" s="34"/>
      <x:c r="E11" s="34"/>
      <x:c r="F11" s="34"/>
    </x:row>
    <x:row r="12">
      <x:c r="A12" s="48" t="str">
        <x:v>Nguyên tắc</x:v>
      </x:c>
      <x:c r="B12" s="49" t="str">
        <x:v>Áp dụng</x:v>
      </x:c>
      <x:c r="C12" s="49"/>
      <x:c r="D12" s="49"/>
      <x:c r="E12" s="49"/>
      <x:c r="F12" s="49"/>
      <x:c r="G12" s="4"/>
      <x:c r="H12" s="4"/>
    </x:row>
    <x:row r="13">
      <x:c r="A13" s="50" t="str">
        <x:v>Phụ trách</x:v>
      </x:c>
      <x:c r="B13" s="51" t="str">
        <x:v>Mỗi Frontend chịu UI, state, tích hợp API/event, test luồng chính và demo chức năng của mình.</x:v>
      </x:c>
      <x:c r="C13" s="51"/>
      <x:c r="D13" s="51"/>
      <x:c r="E13" s="51"/>
      <x:c r="F13" s="51"/>
      <x:c r="G13" s="4"/>
      <x:c r="H13" s="4"/>
    </x:row>
    <x:row r="14">
      <x:c r="A14" s="50" t="str">
        <x:v>Reviewer</x:v>
      </x:c>
      <x:c r="B14" s="51" t="str">
        <x:v>Frontend còn lại review mọi PR giao thoa. Component/state dùng chung phải thống nhất trước khi merge.</x:v>
      </x:c>
      <x:c r="C14" s="51"/>
      <x:c r="D14" s="51"/>
      <x:c r="E14" s="51"/>
      <x:c r="F14" s="51"/>
      <x:c r="G14" s="4"/>
      <x:c r="H14" s="4"/>
    </x:row>
    <x:row r="15">
      <x:c r="A15" s="50" t="str">
        <x:v>Chức năng giao thoa</x:v>
      </x:c>
      <x:c r="B15" s="51" t="str">
        <x:v>FE-04/05/06/07/10/12/13/15 cần chốt API, event và navigation contract trước khi làm song song.</x:v>
      </x:c>
      <x:c r="C15" s="51"/>
      <x:c r="D15" s="51"/>
      <x:c r="E15" s="51"/>
      <x:c r="F15" s="51"/>
      <x:c r="G15" s="4"/>
      <x:c r="H15" s="4"/>
    </x:row>
    <x:row r="16">
      <x:c r="A16" s="50" t="str">
        <x:v>Privacy</x:v>
      </x:c>
      <x:c r="B16" s="51" t="str">
        <x:v>Không cache/log tọa độ chính xác ngoài phần cần thiết; stale/denied/offline phải có trạng thái UI rõ.</x:v>
      </x:c>
      <x:c r="C16" s="51"/>
      <x:c r="D16" s="51"/>
      <x:c r="E16" s="51"/>
      <x:c r="F16" s="51"/>
      <x:c r="G16" s="4"/>
      <x:c r="H16" s="4"/>
    </x:row>
    <x:row r="17">
      <x:c r="A17" s="50" t="str">
        <x:v>Sở thích</x:v>
      </x:c>
      <x:c r="B17" s="51" t="str">
        <x:v>Profile chỉ prefill; ưu tiên MeetupMemberPreference trong màn meetup và recommendation.</x:v>
      </x:c>
      <x:c r="C17" s="51"/>
      <x:c r="D17" s="51"/>
      <x:c r="E17" s="51"/>
      <x:c r="F17" s="51"/>
      <x:c r="G17" s="4"/>
      <x:c r="H17" s="4"/>
    </x:row>
    <x:row r="18">
      <x:c r="A18" s="50" t="str">
        <x:v>Quy mô meetup</x:v>
      </x:c>
      <x:c r="B18" s="51" t="str">
        <x:v>UI hiển thị kết quả exact/batch/cluster theo dữ liệu Backend trả về; không tự suy diễn.</x:v>
      </x:c>
      <x:c r="C18" s="51"/>
      <x:c r="D18" s="51"/>
      <x:c r="E18" s="51"/>
      <x:c r="F18" s="51"/>
      <x:c r="G18" s="4"/>
      <x:c r="H18" s="4"/>
    </x:row>
  </x:sheetData>
  <x:mergeCells>
    <x:mergeCell ref="B16:F16"/>
    <x:mergeCell ref="B17:F17"/>
    <x:mergeCell ref="B18:F18"/>
    <x:mergeCell ref="A2:H2"/>
    <x:mergeCell ref="A3:H3"/>
    <x:mergeCell ref="B13:F13"/>
    <x:mergeCell ref="B14:F14"/>
    <x:mergeCell ref="B15:F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32" customWidth="1"/>
    <x:col min="3" max="5" width="12" customWidth="1"/>
    <x:col min="6" max="7" width="15" customWidth="1"/>
    <x:col min="8" max="8" width="45" customWidth="1"/>
  </x:cols>
  <x:sheetData>
    <x:row r="1">
      <x:c r="A1" s="34"/>
      <x:c r="B1" s="34"/>
      <x:c r="C1" s="34"/>
      <x:c r="D1" s="34"/>
      <x:c r="E1" s="34"/>
      <x:c r="F1" s="34"/>
      <x:c r="G1" s="34"/>
      <x:c r="H1" s="34"/>
    </x:row>
    <x:row r="2" ht="19.200000762939453">
      <x:c r="A2" s="35" t="str">
        <x:v>Function Points Frontend</x:v>
      </x:c>
      <x:c r="B2" s="34"/>
      <x:c r="C2" s="34"/>
      <x:c r="D2" s="34"/>
      <x:c r="E2" s="34"/>
      <x:c r="F2" s="34"/>
      <x:c r="G2" s="34"/>
      <x:c r="H2" s="34"/>
    </x:row>
    <x:row r="3">
      <x:c r="A3" s="36" t="str">
        <x:v>Ước lượng chức năng phía Frontend để cân tải. Điểm là độ lớn tương đối, không phải số giờ công.</x:v>
      </x:c>
      <x:c r="B3" s="34"/>
      <x:c r="C3" s="34"/>
      <x:c r="D3" s="34"/>
      <x:c r="E3" s="34"/>
      <x:c r="F3" s="34"/>
      <x:c r="G3" s="34"/>
      <x:c r="H3" s="34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37" t="str">
        <x:v>Mã</x:v>
      </x:c>
      <x:c r="B5" s="37" t="str">
        <x:v>Chức năng Frontend</x:v>
      </x:c>
      <x:c r="C5" s="37" t="str">
        <x:v>UI / Flow</x:v>
      </x:c>
      <x:c r="D5" s="37" t="str">
        <x:v>API / State</x:v>
      </x:c>
      <x:c r="E5" s="37" t="str">
        <x:v>Realtime / Device</x:v>
      </x:c>
      <x:c r="F5" s="37" t="str">
        <x:v>Điểm FE</x:v>
      </x:c>
      <x:c r="G5" s="37" t="str">
        <x:v>Phụ trách</x:v>
      </x:c>
      <x:c r="H5" s="37" t="str">
        <x:v>Cách hiểu</x:v>
      </x:c>
    </x:row>
    <x:row r="6" ht="26.399999618530273">
      <x:c r="A6" s="40" t="str">
        <x:v>FE-01</x:v>
      </x:c>
      <x:c r="B6" s="40" t="str">
        <x:v>Xác thực và phiên đăng nhập</x:v>
      </x:c>
      <x:c r="C6" s="40" t="str">
        <x:v>Nhiều</x:v>
      </x:c>
      <x:c r="D6" s="40" t="str">
        <x:v>Nhiều</x:v>
      </x:c>
      <x:c r="E6" s="40" t="str">
        <x:v>-</x:v>
      </x:c>
      <x:c r="F6" s="40" t="n">
        <x:v>8</x:v>
      </x:c>
      <x:c r="G6" s="40" t="str">
        <x:v>Frontend 1</x:v>
      </x:c>
      <x:c r="H6" s="40" t="str">
        <x:v>Màn hình đăng ký/đăng nhập Email + Google; loading/error; logout/refresh token</x:v>
      </x:c>
    </x:row>
    <x:row r="7">
      <x:c r="A7" s="40" t="str">
        <x:v>FE-02</x:v>
      </x:c>
      <x:c r="B7" s="40" t="str">
        <x:v>Hồ sơ và sở thích profile</x:v>
      </x:c>
      <x:c r="C7" s="40" t="str">
        <x:v>Vừa</x:v>
      </x:c>
      <x:c r="D7" s="40" t="str">
        <x:v>Vừa</x:v>
      </x:c>
      <x:c r="E7" s="40" t="str">
        <x:v>-</x:v>
      </x:c>
      <x:c r="F7" s="40" t="n">
        <x:v>5</x:v>
      </x:c>
      <x:c r="G7" s="40" t="str">
        <x:v>Frontend 1</x:v>
      </x:c>
      <x:c r="H7" s="40" t="str">
        <x:v>Profile, avatar/tên, sở thích mặc định dùng để prefill</x:v>
      </x:c>
    </x:row>
    <x:row r="8">
      <x:c r="A8" s="40" t="str">
        <x:v>FE-03</x:v>
      </x:c>
      <x:c r="B8" s="40" t="str">
        <x:v>Bạn bè</x:v>
      </x:c>
      <x:c r="C8" s="40" t="str">
        <x:v>Nhiều</x:v>
      </x:c>
      <x:c r="D8" s="40" t="str">
        <x:v>Nhiều</x:v>
      </x:c>
      <x:c r="E8" s="40" t="str">
        <x:v>Realtime</x:v>
      </x:c>
      <x:c r="F8" s="40" t="n">
        <x:v>8</x:v>
      </x:c>
      <x:c r="G8" s="40" t="str">
        <x:v>Frontend 1</x:v>
      </x:c>
      <x:c r="H8" s="40" t="str">
        <x:v>Tìm kiếm, gửi/nhận lời mời, accept/reject, danh sách bạn bè</x:v>
      </x:c>
    </x:row>
    <x:row r="9" ht="26.399999618530273">
      <x:c r="A9" s="40" t="str">
        <x:v>FE-04</x:v>
      </x:c>
      <x:c r="B9" s="40" t="str">
        <x:v>Quyền GPS và cài đặt chia sẻ vị trí</x:v>
      </x:c>
      <x:c r="C9" s="40" t="str">
        <x:v>Vừa</x:v>
      </x:c>
      <x:c r="D9" s="40" t="str">
        <x:v>Vừa</x:v>
      </x:c>
      <x:c r="E9" s="40" t="str">
        <x:v>GPS</x:v>
      </x:c>
      <x:c r="F9" s="40" t="n">
        <x:v>8</x:v>
      </x:c>
      <x:c r="G9" s="40" t="str">
        <x:v>Frontend 2</x:v>
      </x:c>
      <x:c r="H9" s="40" t="str">
        <x:v>Xin quyền hệ điều hành, bật/tắt chia sẻ, giải thích khi từ chối/tắt GPS</x:v>
      </x:c>
    </x:row>
    <x:row r="10" ht="26.399999618530273">
      <x:c r="A10" s="40" t="str">
        <x:v>FE-05</x:v>
      </x:c>
      <x:c r="B10" s="40" t="str">
        <x:v>Bản đồ bạn bè realtime</x:v>
      </x:c>
      <x:c r="C10" s="40" t="str">
        <x:v>Nhiều</x:v>
      </x:c>
      <x:c r="D10" s="40" t="str">
        <x:v>Nhiều</x:v>
      </x:c>
      <x:c r="E10" s="40" t="str">
        <x:v>Map + Realtime</x:v>
      </x:c>
      <x:c r="F10" s="40" t="n">
        <x:v>13</x:v>
      </x:c>
      <x:c r="G10" s="40" t="str">
        <x:v>Frontend 2</x:v>
      </x:c>
      <x:c r="H10" s="40" t="str">
        <x:v>Map, marker bạn bè, updatedAt, accuracy, nhãn vị trí cũ</x:v>
      </x:c>
    </x:row>
    <x:row r="11" ht="26.399999618530273">
      <x:c r="A11" s="40" t="str">
        <x:v>FE-06</x:v>
      </x:c>
      <x:c r="B11" s="40" t="str">
        <x:v>Socket client và vòng đời location</x:v>
      </x:c>
      <x:c r="C11" s="40" t="str">
        <x:v>Ít</x:v>
      </x:c>
      <x:c r="D11" s="40" t="str">
        <x:v>Nhiều</x:v>
      </x:c>
      <x:c r="E11" s="40" t="str">
        <x:v>Socket</x:v>
      </x:c>
      <x:c r="F11" s="40" t="n">
        <x:v>8</x:v>
      </x:c>
      <x:c r="G11" s="40" t="str">
        <x:v>Frontend 2</x:v>
      </x:c>
      <x:c r="H11" s="40" t="str">
        <x:v>Kết nối Socket.IO, reconnect, presence, subscribe/unsubscribe event vị trí/meetup</x:v>
      </x:c>
    </x:row>
    <x:row r="12">
      <x:c r="A12" s="40" t="str">
        <x:v>FE-07</x:v>
      </x:c>
      <x:c r="B12" s="40" t="str">
        <x:v>Tạo/sửa/hủy Meetup</x:v>
      </x:c>
      <x:c r="C12" s="40" t="str">
        <x:v>Nhiều</x:v>
      </x:c>
      <x:c r="D12" s="40" t="str">
        <x:v>Nhiều</x:v>
      </x:c>
      <x:c r="E12" s="40" t="str">
        <x:v>Realtime</x:v>
      </x:c>
      <x:c r="F12" s="40" t="n">
        <x:v>13</x:v>
      </x:c>
      <x:c r="G12" s="40" t="str">
        <x:v>Frontend 1</x:v>
      </x:c>
      <x:c r="H12" s="40" t="str">
        <x:v>Form tên/thời gian/loại/bán kính, chọn thành viên, màn chi tiết và trạng thái meetup</x:v>
      </x:c>
    </x:row>
    <x:row r="13" ht="26.399999618530273">
      <x:c r="A13" s="40" t="str">
        <x:v>FE-08</x:v>
      </x:c>
      <x:c r="B13" s="40" t="str">
        <x:v>Lời mời và phản hồi Meetup</x:v>
      </x:c>
      <x:c r="C13" s="40" t="str">
        <x:v>Vừa</x:v>
      </x:c>
      <x:c r="D13" s="40" t="str">
        <x:v>Vừa</x:v>
      </x:c>
      <x:c r="E13" s="40" t="str">
        <x:v>Realtime</x:v>
      </x:c>
      <x:c r="F13" s="40" t="n">
        <x:v>5</x:v>
      </x:c>
      <x:c r="G13" s="40" t="str">
        <x:v>Frontend 1</x:v>
      </x:c>
      <x:c r="H13" s="40" t="str">
        <x:v>Danh sách lời mời; accept/reject; trạng thái thành viên cập nhật realtime</x:v>
      </x:c>
    </x:row>
    <x:row r="14" ht="26.399999618530273">
      <x:c r="A14" s="40" t="str">
        <x:v>FE-09</x:v>
      </x:c>
      <x:c r="B14" s="40" t="str">
        <x:v>Sở thích tạm thời Meetup</x:v>
      </x:c>
      <x:c r="C14" s="40" t="str">
        <x:v>Vừa</x:v>
      </x:c>
      <x:c r="D14" s="40" t="str">
        <x:v>Vừa</x:v>
      </x:c>
      <x:c r="E14" s="40" t="str">
        <x:v>-</x:v>
      </x:c>
      <x:c r="F14" s="40" t="n">
        <x:v>5</x:v>
      </x:c>
      <x:c r="G14" s="40" t="str">
        <x:v>Frontend 1</x:v>
      </x:c>
      <x:c r="H14" s="40" t="str">
        <x:v>UI chọn tag high/normal/avoid; prefill từ profile; chỉnh trước khi chốt</x:v>
      </x:c>
    </x:row>
    <x:row r="15" ht="26.399999618530273">
      <x:c r="A15" s="40" t="str">
        <x:v>FE-10</x:v>
      </x:c>
      <x:c r="B15" s="40" t="str">
        <x:v>Kết quả gợi ý địa điểm</x:v>
      </x:c>
      <x:c r="C15" s="40" t="str">
        <x:v>Nhiều</x:v>
      </x:c>
      <x:c r="D15" s="40" t="str">
        <x:v>Nhiều</x:v>
      </x:c>
      <x:c r="E15" s="40" t="str">
        <x:v>Map/Routes state</x:v>
      </x:c>
      <x:c r="F15" s="40" t="n">
        <x:v>13</x:v>
      </x:c>
      <x:c r="G15" s="40" t="str">
        <x:v>Frontend 2</x:v>
      </x:c>
      <x:c r="H15" s="40" t="str">
        <x:v>Top 5, rating, Avg ETA, Max ETA, ETA từng người, nhãn exact/batch/cluster</x:v>
      </x:c>
    </x:row>
    <x:row r="16">
      <x:c r="A16" s="40" t="str">
        <x:v>FE-11</x:v>
      </x:c>
      <x:c r="B16" s="40" t="str">
        <x:v>Chi tiết địa điểm và lọc đang mở cửa</x:v>
      </x:c>
      <x:c r="C16" s="40" t="str">
        <x:v>Vừa</x:v>
      </x:c>
      <x:c r="D16" s="40" t="str">
        <x:v>Vừa</x:v>
      </x:c>
      <x:c r="E16" s="40" t="str">
        <x:v>Places</x:v>
      </x:c>
      <x:c r="F16" s="40" t="n">
        <x:v>5</x:v>
      </x:c>
      <x:c r="G16" s="40" t="str">
        <x:v>Frontend 2</x:v>
      </x:c>
      <x:c r="H16" s="40" t="str">
        <x:v>Place card/detail, trạng thái giờ mở cửa, bật/tắt lọc open-now</x:v>
      </x:c>
    </x:row>
    <x:row r="17">
      <x:c r="A17" s="40" t="str">
        <x:v>FE-12</x:v>
      </x:c>
      <x:c r="B17" s="40" t="str">
        <x:v>Vote realtime và chốt địa điểm</x:v>
      </x:c>
      <x:c r="C17" s="40" t="str">
        <x:v>Vừa</x:v>
      </x:c>
      <x:c r="D17" s="40" t="str">
        <x:v>Nhiều</x:v>
      </x:c>
      <x:c r="E17" s="40" t="str">
        <x:v>Realtime</x:v>
      </x:c>
      <x:c r="F17" s="40" t="n">
        <x:v>8</x:v>
      </x:c>
      <x:c r="G17" s="40" t="str">
        <x:v>Frontend 1</x:v>
      </x:c>
      <x:c r="H17" s="40" t="str">
        <x:v>Vote/đổi vote, tổng phiếu realtime, người tạo chốt, trạng thái finalized</x:v>
      </x:c>
    </x:row>
    <x:row r="18">
      <x:c r="A18" s="40" t="str">
        <x:v>FE-13</x:v>
      </x:c>
      <x:c r="B18" s="40" t="str">
        <x:v>FCM, nhắc lịch và deep link</x:v>
      </x:c>
      <x:c r="C18" s="40" t="str">
        <x:v>Vừa</x:v>
      </x:c>
      <x:c r="D18" s="40" t="str">
        <x:v>Nhiều</x:v>
      </x:c>
      <x:c r="E18" s="40" t="str">
        <x:v>FCM/Deep link</x:v>
      </x:c>
      <x:c r="F18" s="40" t="n">
        <x:v>8</x:v>
      </x:c>
      <x:c r="G18" s="40" t="str">
        <x:v>Frontend 2</x:v>
      </x:c>
      <x:c r="H18" s="40" t="str">
        <x:v>Nhận notification lời mời/chốt/nhắc lịch; chạm mở đúng màn hình</x:v>
      </x:c>
    </x:row>
    <x:row r="19">
      <x:c r="A19" s="40" t="str">
        <x:v>FE-14</x:v>
      </x:c>
      <x:c r="B19" s="40" t="str">
        <x:v>Lịch sử, yêu thích và dẫn đường</x:v>
      </x:c>
      <x:c r="C19" s="40" t="str">
        <x:v>Nhiều</x:v>
      </x:c>
      <x:c r="D19" s="40" t="str">
        <x:v>Vừa</x:v>
      </x:c>
      <x:c r="E19" s="40" t="str">
        <x:v>Maps deep link</x:v>
      </x:c>
      <x:c r="F19" s="40" t="n">
        <x:v>8</x:v>
      </x:c>
      <x:c r="G19" s="40" t="str">
        <x:v>Frontend 1</x:v>
      </x:c>
      <x:c r="H19" s="40" t="str">
        <x:v>Danh sách meetup cũ, lưu/bỏ lưu địa điểm, mở Google Maps tới nơi đã chốt</x:v>
      </x:c>
    </x:row>
    <x:row r="20" ht="26.399999618530273">
      <x:c r="A20" s="40" t="str">
        <x:v>FE-15</x:v>
      </x:c>
      <x:c r="B20" s="40" t="str">
        <x:v>Chat nhóm trong Meetup</x:v>
      </x:c>
      <x:c r="C20" s="40" t="str">
        <x:v>Nhiều</x:v>
      </x:c>
      <x:c r="D20" s="40" t="str">
        <x:v>Nhiều</x:v>
      </x:c>
      <x:c r="E20" s="40" t="str">
        <x:v>Socket</x:v>
      </x:c>
      <x:c r="F20" s="40" t="n">
        <x:v>8</x:v>
      </x:c>
      <x:c r="G20" s="40" t="str">
        <x:v>Frontend 2</x:v>
      </x:c>
      <x:c r="H20" s="40" t="str">
        <x:v>Danh sách tin, gửi/nhận realtime, trạng thái gửi/lỗi/reconnect</x:v>
      </x:c>
    </x:row>
    <x:row r="21">
      <x:c r="A21" s="40" t="str">
        <x:v>FE-16</x:v>
      </x:c>
      <x:c r="B21" s="40" t="str">
        <x:v>AI giải thích đề xuất</x:v>
      </x:c>
      <x:c r="C21" s="40" t="str">
        <x:v>Vừa</x:v>
      </x:c>
      <x:c r="D21" s="40" t="str">
        <x:v>Vừa</x:v>
      </x:c>
      <x:c r="E21" s="40" t="str">
        <x:v>AI API</x:v>
      </x:c>
      <x:c r="F21" s="40" t="n">
        <x:v>5</x:v>
      </x:c>
      <x:c r="G21" s="40" t="str">
        <x:v>Frontend 2</x:v>
      </x:c>
      <x:c r="H21" s="40" t="str">
        <x:v>Nút 'Vì sao gợi ý?', modal/card giải thích, fallback theo rule khi AI lỗi</x:v>
      </x:c>
    </x:row>
    <x:row r="22" ht="26.399999618530273">
      <x:c r="A22" s="40" t="str">
        <x:v>FE-17</x:v>
      </x:c>
      <x:c r="B22" s="40" t="str">
        <x:v>Phát hiện bạn ở gần</x:v>
      </x:c>
      <x:c r="C22" s="40" t="str">
        <x:v>Vừa</x:v>
      </x:c>
      <x:c r="D22" s="40" t="str">
        <x:v>Vừa</x:v>
      </x:c>
      <x:c r="E22" s="40" t="str">
        <x:v>Location + FCM</x:v>
      </x:c>
      <x:c r="F22" s="40" t="n">
        <x:v>5</x:v>
      </x:c>
      <x:c r="G22" s="40" t="str">
        <x:v>Frontend 2</x:v>
      </x:c>
      <x:c r="H22" s="40" t="str">
        <x:v>Opt-in, chọn ngưỡng, notification/gợi ý tạo meetup, trạng thái cooldown</x:v>
      </x:c>
    </x:row>
    <x:row r="23">
      <x:c r="A23" s="40" t="str">
        <x:v>FE-18</x:v>
      </x:c>
      <x:c r="B23" s="40" t="str">
        <x:v>Admin tối giản</x:v>
      </x:c>
      <x:c r="C23" s="40" t="str">
        <x:v>Vừa</x:v>
      </x:c>
      <x:c r="D23" s="40" t="str">
        <x:v>Vừa</x:v>
      </x:c>
      <x:c r="E23" s="40" t="str">
        <x:v>-</x:v>
      </x:c>
      <x:c r="F23" s="40" t="n">
        <x:v>5</x:v>
      </x:c>
      <x:c r="G23" s="40" t="str">
        <x:v>Frontend 1</x:v>
      </x:c>
      <x:c r="H23" s="40" t="str">
        <x:v>Danh sách tài khoản, khóa/mở khóa, báo cáo và số liệu cơ bản</x:v>
      </x:c>
    </x:row>
    <x:row r="24">
      <x:c r="A24" s="40" t="str">
        <x:v>FE-19</x:v>
      </x:c>
      <x:c r="B24" s="40" t="str">
        <x:v>Trạng thái lỗi, offline và privacy</x:v>
      </x:c>
      <x:c r="C24" s="40" t="str">
        <x:v>Nhiều</x:v>
      </x:c>
      <x:c r="D24" s="40" t="str">
        <x:v>Nhiều</x:v>
      </x:c>
      <x:c r="E24" s="40" t="str">
        <x:v>GPS/Network/Socket</x:v>
      </x:c>
      <x:c r="F24" s="40" t="n">
        <x:v>8</x:v>
      </x:c>
      <x:c r="G24" s="40" t="str">
        <x:v>Frontend 1</x:v>
      </x:c>
      <x:c r="H24" s="40" t="str">
        <x:v>Màn/empty state cho GPS deny, stale location, network/socket lỗi, thiếu quyền</x:v>
      </x:c>
    </x:row>
    <x:row r="25">
      <x:c r="A25" s="34" t="str">
        <x:v>FE-20</x:v>
      </x:c>
      <x:c r="B25" s="34" t="str">
        <x:v>Hiệu năng mobile và chuẩn bị demo</x:v>
      </x:c>
      <x:c r="C25" s="34" t="str">
        <x:v>Vừa</x:v>
      </x:c>
      <x:c r="D25" s="34" t="str">
        <x:v>Vừa</x:v>
      </x:c>
      <x:c r="E25" s="34" t="str">
        <x:v>Device/performance</x:v>
      </x:c>
      <x:c r="F25" s="34" t="n">
        <x:v>8</x:v>
      </x:c>
      <x:c r="G25" s="34" t="str">
        <x:v>Frontend 2</x:v>
      </x:c>
      <x:c r="H25" s="34" t="str">
        <x:v>Theo dõi loading/re-render, số update vị trí, polish luồng demo, kiểm tra Android thật</x:v>
      </x:c>
    </x:row>
    <x:row r="26">
      <x:c r="A26" s="41" t="str">
        <x:v>FE-21</x:v>
      </x:c>
      <x:c r="B26" s="40" t="str">
        <x:v>App shell, navigation và component dùng chung</x:v>
      </x:c>
      <x:c r="C26" s="40" t="str">
        <x:v>Nhiều</x:v>
      </x:c>
      <x:c r="D26" s="40" t="str">
        <x:v>Vừa</x:v>
      </x:c>
      <x:c r="E26" s="40" t="str">
        <x:v>Navigation</x:v>
      </x:c>
      <x:c r="F26" s="40" t="n">
        <x:v>8</x:v>
      </x:c>
      <x:c r="G26" s="40" t="str">
        <x:v>Frontend 1</x:v>
      </x:c>
      <x:c r="H26" s="40" t="str">
        <x:v>Navigation structure, theme/component cơ bản, loading/empty/error component dùng chung</x:v>
      </x:c>
    </x:row>
    <x:row r="27">
      <x:c r="A27" s="41"/>
      <x:c r="B27" s="40"/>
      <x:c r="C27" s="40"/>
      <x:c r="D27" s="40"/>
      <x:c r="E27" s="40"/>
      <x:c r="F27" s="40"/>
      <x:c r="G27" s="40"/>
      <x:c r="H27" s="40"/>
    </x:row>
    <x:row r="28">
      <x:c r="A28" s="54" t="str">
        <x:v>Tổng điểm FE</x:v>
      </x:c>
      <x:c r="B28" s="40" t="n">
        <x:f>SUM(F6:F26)</x:f>
        <x:v>162</x:v>
      </x:c>
      <x:c r="C28" s="40"/>
      <x:c r="D28" s="40"/>
      <x:c r="E28" s="40"/>
      <x:c r="F28" s="40"/>
      <x:c r="G28" s="40"/>
      <x:c r="H28" s="40"/>
    </x:row>
    <x:row r="29">
      <x:c r="A29" s="54" t="str">
        <x:v>Điểm Core</x:v>
      </x:c>
      <x:c r="B29" s="40" t="n">
        <x:f>SUMIF('Chức năng FE'!D6:D26,"Core",'Chức năng FE'!E6:E26)</x:f>
        <x:v>126</x:v>
      </x:c>
      <x:c r="C29" s="40"/>
      <x:c r="D29" s="40"/>
      <x:c r="E29" s="40"/>
      <x:c r="F29" s="40"/>
      <x:c r="G29" s="40"/>
      <x:c r="H29" s="40"/>
    </x:row>
    <x:row r="30">
      <x:c r="A30" s="54" t="str">
        <x:v>Điểm Planned</x:v>
      </x:c>
      <x:c r="B30" s="55" t="n">
        <x:f>SUMIF('Chức năng FE'!D6:D26,"Planned",'Chức năng FE'!E6:E26)</x:f>
        <x:v>36</x:v>
      </x:c>
      <x:c r="C30" s="55"/>
      <x:c r="D30" s="55"/>
      <x:c r="E30" s="55"/>
      <x:c r="F30" s="55"/>
      <x:c r="G30" s="55"/>
      <x:c r="H30" s="55"/>
    </x:row>
    <x:row r="31">
      <x:c r="A31" s="54" t="str">
        <x:v>Lưu ý</x:v>
      </x:c>
      <x:c r="B31" s="55" t="str">
        <x:v>Điểm là ước lượng để cân tải. Hai Frontend vẫn cùng review component/state giao thoa và sửa lỗi tích hợp.</x:v>
      </x:c>
      <x:c r="C31" s="55"/>
      <x:c r="D31" s="55"/>
      <x:c r="E31" s="55"/>
      <x:c r="F31" s="55"/>
      <x:c r="G31" s="55"/>
      <x:c r="H31" s="55"/>
    </x:row>
  </x:sheetData>
  <x:mergeCells>
    <x:mergeCell ref="A2:H2"/>
    <x:mergeCell ref="A3:H3"/>
    <x:mergeCell ref="B29:H29"/>
    <x:mergeCell ref="B31:H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105" customWidth="1"/>
  </x:cols>
  <x:sheetData>
    <x:row r="1">
      <x:c r="A1" s="34"/>
      <x:c r="B1" s="34"/>
    </x:row>
    <x:row r="2" ht="19.200000762939453">
      <x:c r="A2" s="35" t="str">
        <x:v>Hướng dẫn dùng workbook Frontend</x:v>
      </x:c>
      <x:c r="B2" s="34"/>
      <x:c r="C2" s="13"/>
      <x:c r="D2" s="13"/>
      <x:c r="E2" s="13"/>
      <x:c r="F2" s="13"/>
    </x:row>
    <x:row r="3">
      <x:c r="A3" s="36" t="str">
        <x:v>Dùng sheet Chức năng FE làm nguồn phân công chính.</x:v>
      </x:c>
      <x:c r="B3" s="34"/>
      <x:c r="C3" s="13"/>
      <x:c r="D3" s="13"/>
      <x:c r="E3" s="13"/>
      <x:c r="F3" s="13"/>
    </x:row>
    <x:row r="4">
      <x:c r="A4" s="34"/>
      <x:c r="B4" s="34"/>
    </x:row>
    <x:row r="5">
      <x:c r="A5" s="37" t="str">
        <x:v>Bước</x:v>
      </x:c>
      <x:c r="B5" s="37" t="str">
        <x:v>Việc cần làm</x:v>
      </x:c>
    </x:row>
    <x:row r="6">
      <x:c r="A6" s="40" t="str">
        <x:v>1</x:v>
      </x:c>
      <x:c r="B6" s="40" t="str">
        <x:v>Đổi tên Frontend 1 và Frontend 2 trong sheet Phân công FE và Chức năng FE.</x:v>
      </x:c>
    </x:row>
    <x:row r="7">
      <x:c r="A7" s="40" t="str">
        <x:v>2</x:v>
      </x:c>
      <x:c r="B7" s="40" t="str">
        <x:v>Mỗi sprint, lọc sheet Backlog FE theo Sprint, Phụ trách và Trạng thái.</x:v>
      </x:c>
    </x:row>
    <x:row r="8">
      <x:c r="A8" s="40" t="str">
        <x:v>3</x:v>
      </x:c>
      <x:c r="B8" s="40" t="str">
        <x:v>Không nhận một dòng chức năng khi chưa rõ API contract/event, UI state, navigation và tiêu chí hoàn thành.</x:v>
      </x:c>
    </x:row>
    <x:row r="9">
      <x:c r="A9" s="40" t="str">
        <x:v>4</x:v>
      </x:c>
      <x:c r="B9" s="40" t="str">
        <x:v>Core làm trước Planned. Planned không được làm chậm GPS/privacy/realtime/recommendation và luồng meetup lõi.</x:v>
      </x:c>
    </x:row>
    <x:row r="10">
      <x:c r="A10" s="40" t="str">
        <x:v>5</x:v>
      </x:c>
      <x:c r="B10" s="40" t="str">
        <x:v>Với PR liên quan giữa hai mảng, mời Frontend còn lại review theo cột Review bắt buộc.</x:v>
      </x:c>
    </x:row>
    <x:row r="11">
      <x:c r="A11" s="40" t="str">
        <x:v>6</x:v>
      </x:c>
      <x:c r="B11" s="40" t="str">
        <x:v>Nếu phạm vi thay đổi, sửa Điểm FE tại sheet Chức năng FE; tổng điểm và tỷ lệ tự cập nhật.</x:v>
      </x:c>
    </x:row>
    <x:row r="12" ht="26.399999618530273">
      <x:c r="A12" s="40" t="str">
        <x:v>7</x:v>
      </x:c>
      <x:c r="B12" s="40" t="str">
        <x:v>Chốt contract trước khi làm song song: LocationUpdated, MeetupMemberChanged, PreferenceUpdated, RecommendationReady, VoteUpdated, MeetupFinalized.</x:v>
      </x:c>
    </x:row>
    <x:row r="13">
      <x:c r="A13" s="34" t="str">
        <x:v>8</x:v>
      </x:c>
      <x:c r="B13" s="34" t="str">
        <x:v>UI phải thể hiện rõ GPS deny, stale location, offline/socket error, thiếu giờ mở cửa và kết quả exact/batch/cluster.</x:v>
      </x:c>
    </x:row>
  </x:sheetData>
  <x:mergeCells>
    <x:mergeCell ref="A2:F2"/>
    <x:mergeCell ref="A3:F3"/>
  </x:mergeCells>
  <x:pageMargins left="0.7" right="0.7" top="0.75" bottom="0.75" header="0.3" footer="0.3"/>
</x:worksheet>
</file>